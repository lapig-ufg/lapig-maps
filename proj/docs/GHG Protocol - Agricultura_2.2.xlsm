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SingleCells3.xml" ContentType="application/vnd.openxmlformats-officedocument.spreadsheetml.tableSingleCells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SingleCells1.xml" ContentType="application/vnd.openxmlformats-officedocument.spreadsheetml.tableSingleCell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SingleCells8.xml" ContentType="application/vnd.openxmlformats-officedocument.spreadsheetml.tableSingleCells+xml"/>
  <Override PartName="/xl/tables/tableSingleCells9.xml" ContentType="application/vnd.openxmlformats-officedocument.spreadsheetml.tableSingleCell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tables/tableSingleCells6.xml" ContentType="application/vnd.openxmlformats-officedocument.spreadsheetml.tableSingleCells+xml"/>
  <Override PartName="/xl/tables/tableSingleCells7.xml" ContentType="application/vnd.openxmlformats-officedocument.spreadsheetml.tableSingleCell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SingleCells4.xml" ContentType="application/vnd.openxmlformats-officedocument.spreadsheetml.tableSingleCells+xml"/>
  <Override PartName="/xl/tables/tableSingleCells5.xml" ContentType="application/vnd.openxmlformats-officedocument.spreadsheetml.tableSingleCell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tables/tableSingleCells2.xml" ContentType="application/vnd.openxmlformats-officedocument.spreadsheetml.tableSingleCells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drawings/drawing7.xml" ContentType="application/vnd.openxmlformats-officedocument.drawing+xml"/>
  <Override PartName="/xl/tables/tableSingleCells10.xml" ContentType="application/vnd.openxmlformats-officedocument.spreadsheetml.tableSingleCel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7A2D7E96-6E34-419A-AE5F-296B3A7E7977}"/>
  <workbookPr showInkAnnotation="0" codeName="EstaPasta_de_trabalho" defaultThemeVersion="124226"/>
  <bookViews>
    <workbookView xWindow="255" yWindow="1260" windowWidth="15105" windowHeight="1860" tabRatio="895" activeTab="1"/>
  </bookViews>
  <sheets>
    <sheet name="Início" sheetId="1" r:id="rId1"/>
    <sheet name="Introdução" sheetId="77" r:id="rId2"/>
    <sheet name="Instruções de uso" sheetId="90" r:id="rId3"/>
    <sheet name="Síntese das emissões" sheetId="27" r:id="rId4"/>
    <sheet name="Fatores de emissão" sheetId="80" r:id="rId5"/>
    <sheet name="Fatores variáveis" sheetId="89" r:id="rId6"/>
    <sheet name="relatório" sheetId="71" state="veryHidden" r:id="rId7"/>
    <sheet name="Equipe" sheetId="70" r:id="rId8"/>
    <sheet name="Soja" sheetId="78" r:id="rId9"/>
    <sheet name="Milho" sheetId="81" r:id="rId10"/>
    <sheet name="Algodão" sheetId="82" r:id="rId11"/>
    <sheet name="Trigo" sheetId="84" r:id="rId12"/>
    <sheet name="Arroz" sheetId="85" r:id="rId13"/>
    <sheet name="Feijão" sheetId="83" r:id="rId14"/>
    <sheet name="Cana-de-açúcar" sheetId="86" r:id="rId15"/>
    <sheet name="Pecuária e pastagem" sheetId="87" r:id="rId16"/>
    <sheet name="Compra de energia elétrica" sheetId="73" r:id="rId17"/>
    <sheet name="listas de formulários" sheetId="29" state="veryHidden" r:id="rId18"/>
  </sheets>
  <definedNames>
    <definedName name="_ftnref1" localSheetId="1">Introdução!$C$19</definedName>
    <definedName name="algodao_adubacaonitrogenadasintetica">Algodão!$E$39</definedName>
    <definedName name="algodao_adubacaoorganicacompostoorganico">Algodão!$E$46</definedName>
    <definedName name="algodao_adubacaoorganicaestercoavicola">Algodão!$E$48</definedName>
    <definedName name="algodao_adubacaoorganicaestercogeral">Algodão!$E$47</definedName>
    <definedName name="algodao_adubacaoorganicaoutros">Algodão!$E$49</definedName>
    <definedName name="algodao_adubacaoverdegraminea">Algodão!$E$53</definedName>
    <definedName name="algodao_adubacaoverdeleguminosa">Algodão!$E$52</definedName>
    <definedName name="algodao_adubacaoverdeoutros">Algodão!$E$54</definedName>
    <definedName name="algodao_aplicacaofungicida">Algodão!$E$60</definedName>
    <definedName name="algodao_aplicacaoherbicida">Algodão!$E$58</definedName>
    <definedName name="algodao_aplicacaoinseticida">Algodão!$E$59</definedName>
    <definedName name="algodao_aplicacaoureia">Algodão!$E$41</definedName>
    <definedName name="algodao_areacultivada">Algodão!$E$34</definedName>
    <definedName name="algodao_areaqueimaresiduos">Algodão!$E$32</definedName>
    <definedName name="algodao_bioma">Algodão!$E$21</definedName>
    <definedName name="algodao_calcariocalcitico">Algodão!$E$42</definedName>
    <definedName name="algodao_calcariodolomitico">Algodão!$E$43</definedName>
    <definedName name="algodao_classetexturalsolo">Algodão!$E$27</definedName>
    <definedName name="algodao_consumodiesel">Algodão!$E$76</definedName>
    <definedName name="algodao_cultivosoloorganico">Algodão!$E$33</definedName>
    <definedName name="algodao_datacolheita">Algodão!$E$26</definedName>
    <definedName name="algodao_dataplantio">Algodão!$E$25</definedName>
    <definedName name="algodao_estado">Algodão!$E$18</definedName>
    <definedName name="algodao_latitude">Algodão!$E$19</definedName>
    <definedName name="algodao_longitude">Algodão!$E$20</definedName>
    <definedName name="algodao_manejosolo">Algodão!$E$30</definedName>
    <definedName name="algodao_menucombustivelconsumido">Algodão!$B$74:$E$76</definedName>
    <definedName name="algodao_menuoperacoesmecanizadas">Algodão!$B$66:$E$73</definedName>
    <definedName name="algodao_nadubosintetico">Algodão!$E$40</definedName>
    <definedName name="algodao_operacaomecanizada_adubacaodecobertura">Algodão!$D$71</definedName>
    <definedName name="algodao_operacaomecanizada_adubacaodecobertura_repeticoes">Algodão!$E$71</definedName>
    <definedName name="algodao_operacaomecanizada_aplicacaodedefensivos">Algodão!$D$72</definedName>
    <definedName name="algodao_operacaomecanizada_aplicacaodedefensivos_repeticoes">Algodão!$E$72</definedName>
    <definedName name="algodao_operacaomecanizada_calagem">Algodão!$D$68</definedName>
    <definedName name="algodao_operacaomecanizada_calagem_repeticoes">Algodão!$E$68</definedName>
    <definedName name="algodao_operacaomecanizada_colheita">Algodão!$D$73</definedName>
    <definedName name="algodao_operacaomecanizada_colheita_repeticoes">Algodão!$E$73</definedName>
    <definedName name="algodao_operacaomecanizada_plantiocomadubacao">Algodão!$D$70</definedName>
    <definedName name="algodao_operacaomecanizada_plantiocomadubacao_repeticoes">Algodão!$E$70</definedName>
    <definedName name="algodao_operacaomecanizada_preparodesolo">Algodão!$D$69</definedName>
    <definedName name="algodao_operacaomecanizada_preparodesolo_repeticoes">Algodão!$E$69</definedName>
    <definedName name="algodao_produtividademedia">Algodão!$E$35</definedName>
    <definedName name="algodao_tempoadocaosistema">Algodão!$E$31</definedName>
    <definedName name="algodao_teorargilasolo">Algodão!$E$28</definedName>
    <definedName name="algodao_tipocombustivel">Algodão!$E$64</definedName>
    <definedName name="algodao_tipoconsumocombustivel">Algodão!$E$65</definedName>
    <definedName name="algodao_usoanteriorterra">Algodão!$E$29</definedName>
    <definedName name="arroz_adubacaonitrogenadasintetica">Arroz!$E$41</definedName>
    <definedName name="arroz_adubacaoverdegraminea">Arroz!$E$53</definedName>
    <definedName name="arroz_adubacaoverdeleguminosa">Arroz!$E$52</definedName>
    <definedName name="arroz_adubacaoverdeoutros">Arroz!$E$54</definedName>
    <definedName name="arroz_aplicacaofungicida">Arroz!$E$60</definedName>
    <definedName name="arroz_aplicacaoherbicida">Arroz!$E$58</definedName>
    <definedName name="arroz_aplicacaoinseticida">Arroz!$E$59</definedName>
    <definedName name="arroz_aplicacaoureia">Arroz!$E$43</definedName>
    <definedName name="arroz_areacultivada">Arroz!$E$36</definedName>
    <definedName name="arroz_areaqueimaresiduos">Arroz!$E$34</definedName>
    <definedName name="arroz_bioma">Arroz!$E$21</definedName>
    <definedName name="arroz_calcariocalcitico">Arroz!$E$44</definedName>
    <definedName name="arroz_calcariodolomitico">Arroz!$E$45</definedName>
    <definedName name="arroz_classetexturalsolo">Arroz!$E$27</definedName>
    <definedName name="arroz_consumodiesel">Arroz!$E$79</definedName>
    <definedName name="arroz_cultivosoloorganico">Arroz!$E$35</definedName>
    <definedName name="arroz_datacolheita">Arroz!$E$26</definedName>
    <definedName name="arroz_dataplantio">Arroz!$E$25</definedName>
    <definedName name="arroz_estado">Arroz!$E$18</definedName>
    <definedName name="arroz_latitude">Arroz!$E$19</definedName>
    <definedName name="arroz_longitude">Arroz!$E$20</definedName>
    <definedName name="arroz_manejosolo">Arroz!$E$30</definedName>
    <definedName name="arroz_materiaorganicafermentada">Arroz!$E$49</definedName>
    <definedName name="arroz_menucombustivelconsumido">Arroz!$B$77:$E$79</definedName>
    <definedName name="arroz_menuoperacoesmecanizadas">Arroz!$B$66:$E$76</definedName>
    <definedName name="arroz_nadubosintetico">Arroz!$E$42</definedName>
    <definedName name="arroz_operacaomecanizada_adubacaodecobertura">Arroz!$D$74</definedName>
    <definedName name="arroz_operacaomecanizada_adubacaodecobertura_repeticoes">Arroz!$E$74</definedName>
    <definedName name="arroz_operacaomecanizada_aplicacaodeherbicidapreemergente">Arroz!$D$75</definedName>
    <definedName name="arroz_operacaomecanizada_aplicacaodeherbicidapreemergente_repeticoes">Arroz!$E$75</definedName>
    <definedName name="arroz_operacaomecanizada_calagem">Arroz!$D$68</definedName>
    <definedName name="arroz_operacaomecanizada_calagem_repeticoes">Arroz!$E$68</definedName>
    <definedName name="arroz_operacaomecanizada_colheita">Arroz!$D$76</definedName>
    <definedName name="arroz_operacaomecanizada_colheita_repeticoes">Arroz!$E$76</definedName>
    <definedName name="arroz_operacaomecanizada_gradagemaradora">Arroz!$D$69</definedName>
    <definedName name="arroz_operacaomecanizada_gradagemaradora_repeticoes">Arroz!$E$69</definedName>
    <definedName name="arroz_operacaomecanizada_gradagemniveladora">Arroz!$D$70</definedName>
    <definedName name="arroz_operacaomecanizada_gradagemniveladora_repeticoes">Arroz!$E$70</definedName>
    <definedName name="arroz_operacaomecanizada_plantio">Arroz!$D$72</definedName>
    <definedName name="arroz_operacaomecanizada_plantio_repeticoes">Arroz!$E$72</definedName>
    <definedName name="arroz_operacaomecanizada_reformadetaipas">Arroz!$D$71</definedName>
    <definedName name="arroz_operacaomecanizada_reformadetaipas_repeticoes">Arroz!$E$71</definedName>
    <definedName name="arroz_operacaomecanizada_transporteinterno">Arroz!$D$73</definedName>
    <definedName name="arroz_operacaomecanizada_transporteinterno_repeticoes">Arroz!$E$73</definedName>
    <definedName name="arroz_preparosolo">Arroz!$E$32</definedName>
    <definedName name="arroz_produtividademedia">Arroz!$E$37</definedName>
    <definedName name="arroz_quantidadeaduboorganico">Arroz!$E$48</definedName>
    <definedName name="arroz_regimehidrico">Arroz!$E$33</definedName>
    <definedName name="arroz_tempoadocaosistema">Arroz!$E$31</definedName>
    <definedName name="arroz_teorargilasolo">Arroz!$E$28</definedName>
    <definedName name="arroz_tipocombustivel">Arroz!$E$64</definedName>
    <definedName name="arroz_tipoconsumocombustivel">Arroz!$E$65</definedName>
    <definedName name="arroz_usoanteriorterra">Arroz!$E$29</definedName>
    <definedName name="c_aduboorganicogeral_teornitrogenio">'Fatores variáveis'!$D$40</definedName>
    <definedName name="c_arroz_fec">"indefinido"</definedName>
    <definedName name="c_arroz_sfo">"indefinido"</definedName>
    <definedName name="c_arroz_sfw">"indefinido"</definedName>
    <definedName name="c_co2_calcariocalcitico">'Fatores de emissão'!$D$26</definedName>
    <definedName name="c_co2_calcariodolomitico">'Fatores de emissão'!$D$27</definedName>
    <definedName name="c_co2_ureia">'Fatores de emissão'!$D$25</definedName>
    <definedName name="c_co2eq_cultivosolosorganicos">'Fatores de emissão'!$D$37</definedName>
    <definedName name="c_compostoorganico_teornitrogenio">'Fatores variáveis'!$D$39</definedName>
    <definedName name="c_emissao_biodiesel">'Fatores de emissão'!$D$249</definedName>
    <definedName name="c_emissaoexterna_fungicida">'Fatores de emissão'!$C$217</definedName>
    <definedName name="c_emissaoexterna_herbicida">'Fatores de emissão'!$C$216</definedName>
    <definedName name="c_emissaoexterna_inseticida">'Fatores de emissão'!$C$218</definedName>
    <definedName name="c_estercoavicola_teornitrogenio">'Fatores variáveis'!$D$38</definedName>
    <definedName name="c_estercogeral_teornitrogenio">'Fatores variáveis'!$D$37</definedName>
    <definedName name="c_fermententer1">"indefinido"</definedName>
    <definedName name="c_fermententer10">"indefinido"</definedName>
    <definedName name="c_fermententer11">"indefinido"</definedName>
    <definedName name="c_fermententer12">"indefinido"</definedName>
    <definedName name="c_fermententer13">"indefinido"</definedName>
    <definedName name="c_fermententer14">"indefinido"</definedName>
    <definedName name="c_fermententer15">"indefinido"</definedName>
    <definedName name="c_fermententer16">"indefinido"</definedName>
    <definedName name="c_fermententer17">"indefinido"</definedName>
    <definedName name="c_fermententer18">"indefinido"</definedName>
    <definedName name="c_fermententer19">"indefinido"</definedName>
    <definedName name="c_fermententer2">"indefinido"</definedName>
    <definedName name="c_fermententer20">"indefinido"</definedName>
    <definedName name="c_fermententer3">"indefinido"</definedName>
    <definedName name="c_fermententer4">"indefinido"</definedName>
    <definedName name="c_fermententer5">"indefinido"</definedName>
    <definedName name="c_fermententer6">"indefinido"</definedName>
    <definedName name="c_fermententer7">"indefinido"</definedName>
    <definedName name="c_fermententer8">"indefinido"</definedName>
    <definedName name="c_fermententer9">"indefinido"</definedName>
    <definedName name="c_horamaquina_algodao_adubacaodecobertura">'Fatores variáveis'!$D$46</definedName>
    <definedName name="c_horamaquina_algodao_aplicacaodedefensivos">'Fatores variáveis'!$D$47</definedName>
    <definedName name="c_horamaquina_algodao_calagem">'Fatores variáveis'!$D$48</definedName>
    <definedName name="c_horamaquina_algodao_colheita">'Fatores variáveis'!$D$49</definedName>
    <definedName name="c_horamaquina_algodao_plantiocomadubacao">'Fatores variáveis'!$D$50</definedName>
    <definedName name="c_horamaquina_algodao_preparodesolo">'Fatores variáveis'!$D$51</definedName>
    <definedName name="c_horamaquina_arroz_adubacaodecobertura">'Fatores variáveis'!$D$52</definedName>
    <definedName name="c_horamaquina_arroz_aplicacaoherbicidapreemergente">'Fatores variáveis'!$D$53</definedName>
    <definedName name="c_horamaquina_arroz_calagem">'Fatores variáveis'!$D$54</definedName>
    <definedName name="c_horamaquina_arroz_colheita">'Fatores variáveis'!$D$55</definedName>
    <definedName name="c_horamaquina_arroz_gradagemaradora">'Fatores variáveis'!$D$56</definedName>
    <definedName name="c_horamaquina_arroz_gradagemniveladora">'Fatores variáveis'!$D$57</definedName>
    <definedName name="c_horamaquina_arroz_plantio">'Fatores variáveis'!$D$58</definedName>
    <definedName name="c_horamaquina_arroz_reformadetaipas">'Fatores variáveis'!$D$59</definedName>
    <definedName name="c_horamaquina_arroz_transporteinterno">'Fatores variáveis'!$D$60</definedName>
    <definedName name="c_horamaquina_canadeacucar_aracao">'Fatores variáveis'!$D$61</definedName>
    <definedName name="c_horamaquina_canadeacucar_calagem">'Fatores variáveis'!$D$62</definedName>
    <definedName name="c_horamaquina_canadeacucar_cobricao">'Fatores variáveis'!$D$63</definedName>
    <definedName name="c_horamaquina_canadeacucar_dessecacao">'Fatores variáveis'!$D$64</definedName>
    <definedName name="c_horamaquina_canadeacucar_gradagem">'Fatores variáveis'!$D$65</definedName>
    <definedName name="c_horamaquina_canadeacucar_gradagemniveladora">'Fatores variáveis'!$D$66</definedName>
    <definedName name="c_horamaquina_canadeacucar_pulverizacao">'Fatores variáveis'!$D$67</definedName>
    <definedName name="c_horamaquina_canadeacucar_sulcacao">'Fatores variáveis'!$D$68</definedName>
    <definedName name="c_horamaquina_canadeacucar_terraceamento">'Fatores variáveis'!$D$69</definedName>
    <definedName name="c_horamaquina_feijao_adubacaodecobertura">'Fatores variáveis'!$D$70</definedName>
    <definedName name="c_horamaquina_feijao_aplicacaofungicida">'Fatores variáveis'!$D$71</definedName>
    <definedName name="c_horamaquina_feijao_aplicacaoherbicidaposemergente">'Fatores variáveis'!$D$72</definedName>
    <definedName name="c_horamaquina_feijao_aracaoconvencional">'Fatores variáveis'!$D$73</definedName>
    <definedName name="c_horamaquina_feijao_calagem">'Fatores variáveis'!$D$74</definedName>
    <definedName name="c_horamaquina_feijao_gradagemniveladora">'Fatores variáveis'!$D$75</definedName>
    <definedName name="c_horamaquina_feijao_plantio">'Fatores variáveis'!$D$76</definedName>
    <definedName name="c_horamaquina_feijao_transporteinternodaproducao">'Fatores variáveis'!$D$77</definedName>
    <definedName name="c_horamaquina_feijao_transporteinternodeinsumosparaplantio">'Fatores variáveis'!$D$78</definedName>
    <definedName name="c_horamaquina_feijao_trilhacombatedeiradecereais">'Fatores variáveis'!$D$79</definedName>
    <definedName name="c_horamaquina_milho_adubacaodecobertura">'Fatores variáveis'!$D$80</definedName>
    <definedName name="c_horamaquina_milho_aplicacaoherbicida">'Fatores variáveis'!$D$81</definedName>
    <definedName name="c_horamaquina_milho_aplicacaoinseticida">'Fatores variáveis'!$D$82</definedName>
    <definedName name="c_horamaquina_milho_calagem">'Fatores variáveis'!$D$83</definedName>
    <definedName name="c_horamaquina_milho_colheita">'Fatores variáveis'!$D$84</definedName>
    <definedName name="c_horamaquina_milho_gradagemaradora">'Fatores variáveis'!$D$85</definedName>
    <definedName name="c_horamaquina_milho_gradagemniveladora">'Fatores variáveis'!$D$86</definedName>
    <definedName name="c_horamaquina_milho_plantiocomadubacao">'Fatores variáveis'!$D$87</definedName>
    <definedName name="c_horamaquina_milho_transporteinternoparacolheita">'Fatores variáveis'!$D$88</definedName>
    <definedName name="c_horamaquina_milho_transporteinternoparaplantio">'Fatores variáveis'!$D$89</definedName>
    <definedName name="c_horamaquina_pastagem_adubacaodecobertura">'Fatores variáveis'!$D$90</definedName>
    <definedName name="c_horamaquina_pastagem_calagem">'Fatores variáveis'!$D$91</definedName>
    <definedName name="c_horamaquina_soja_aplicacaofungicida">'Fatores variáveis'!$D$92</definedName>
    <definedName name="c_horamaquina_soja_aplicacaoherbicidaposemergente">'Fatores variáveis'!$D$93</definedName>
    <definedName name="c_horamaquina_soja_aplicacaoinseticida">'Fatores variáveis'!$D$94</definedName>
    <definedName name="c_horamaquina_soja_calagem">'Fatores variáveis'!$D$95</definedName>
    <definedName name="c_horamaquina_soja_dessecacaopreemergente">'Fatores variáveis'!$D$96</definedName>
    <definedName name="c_horamaquina_soja_limpezaarea">'Fatores variáveis'!$D$97</definedName>
    <definedName name="c_horamaquina_soja_plantiocomadubacao">'Fatores variáveis'!$D$98</definedName>
    <definedName name="c_horamaquina_trigo_aplicacaofungicida">'Fatores variáveis'!$D$99</definedName>
    <definedName name="c_horamaquina_trigo_aplicacaoherbicida">'Fatores variáveis'!$D$100</definedName>
    <definedName name="c_horamaquina_trigo_aplicacaoinseticida">'Fatores variáveis'!$D$101</definedName>
    <definedName name="c_horamaquina_trigo_colheita">'Fatores variáveis'!$D$102</definedName>
    <definedName name="c_horamaquina_trigo_plantio">'Fatores variáveis'!$D$103</definedName>
    <definedName name="c_manejdejanim1">"indefinido"</definedName>
    <definedName name="c_manejdejanim10">"indefinido"</definedName>
    <definedName name="c_manejdejanim11">"indefinido"</definedName>
    <definedName name="c_manejdejanim12">"indefinido"</definedName>
    <definedName name="c_manejdejanim13">"indefinido"</definedName>
    <definedName name="c_manejdejanim14">"indefinido"</definedName>
    <definedName name="c_manejdejanim15">"indefinido"</definedName>
    <definedName name="c_manejdejanim16">"indefinido"</definedName>
    <definedName name="c_manejdejanim17">"indefinido"</definedName>
    <definedName name="c_manejdejanim18">"indefinido"</definedName>
    <definedName name="c_manejdejanim19">"indefinido"</definedName>
    <definedName name="c_manejdejanim2">"indefinido"</definedName>
    <definedName name="c_manejdejanim20">"indefinido"</definedName>
    <definedName name="c_manejdejanim3">"indefinido"</definedName>
    <definedName name="c_manejdejanim4">"indefinido"</definedName>
    <definedName name="c_manejdejanim5">"indefinido"</definedName>
    <definedName name="c_manejdejanim6">"indefinido"</definedName>
    <definedName name="c_manejdejanim7">"indefinido"</definedName>
    <definedName name="c_manejdejanim8">"indefinido"</definedName>
    <definedName name="c_manejdejanim9">"indefinido"</definedName>
    <definedName name="c_mecanizacao_ch4">'Fatores de emissão'!$C$194</definedName>
    <definedName name="c_mecanizacao_co2">'Fatores de emissão'!$C$193</definedName>
    <definedName name="c_mecanizacao_n2o">'Fatores de emissão'!$C$195</definedName>
    <definedName name="c_mudancausosolo_algodao">"indefinido"</definedName>
    <definedName name="c_mudancausosolo_arroz">"indefinido"</definedName>
    <definedName name="c_mudancausosolo_cana">"indefinido"</definedName>
    <definedName name="c_mudancausosolo_feijao">"indefinido"</definedName>
    <definedName name="c_mudancausosolo_milho">"indefinido"</definedName>
    <definedName name="c_mudancausosolo_pecuariapastagem">"indefinido"</definedName>
    <definedName name="c_mudancausosolo_soja">"indefinido"</definedName>
    <definedName name="c_mudancausosolo_trigo">"indefinido"</definedName>
    <definedName name="c_n2o_aduboorganicogeral">'Fatores de emissão'!$G$31</definedName>
    <definedName name="c_n2o_compostoorganico">'Fatores de emissão'!$G$30</definedName>
    <definedName name="c_n2o_estercoavicola">'Fatores de emissão'!$G$29</definedName>
    <definedName name="c_n2o_estercogeral">'Fatores de emissão'!$G$28</definedName>
    <definedName name="c_n2o_fertilizantesintetico">'Fatores de emissão'!$G$23</definedName>
    <definedName name="c_n2o_nitrogenioureia">'Fatores de emissão'!$G$24</definedName>
    <definedName name="c_n2o_perdanitrogenio">'Fatores de emissão'!$D$38</definedName>
    <definedName name="c_n2o_tortafiltro">'Fatores de emissão'!$G$32</definedName>
    <definedName name="c_n2o_vinhaca">'Fatores de emissão'!$G$33</definedName>
    <definedName name="c_queimaresiduoalgodao_ch4">'Fatores de emissão'!$C$44</definedName>
    <definedName name="c_queimaresiduoalgodao_co">'Fatores de emissão'!$D$44</definedName>
    <definedName name="c_queimaresiduoalgodao_n2o">'Fatores de emissão'!$E$44</definedName>
    <definedName name="c_queimaresiduoalgodao_nox">'Fatores de emissão'!$F$44</definedName>
    <definedName name="c_queimaresiduoarroz_ch4">'Fatores de emissão'!$C$48</definedName>
    <definedName name="c_queimaresiduoarroz_co">'Fatores de emissão'!$D$48</definedName>
    <definedName name="c_queimaresiduoarroz_n2o">'Fatores de emissão'!$E$48</definedName>
    <definedName name="c_queimaresiduoarroz_nox">'Fatores de emissão'!$F$48</definedName>
    <definedName name="c_queimaresiduocana_ch4">'Fatores de emissão'!$C$43</definedName>
    <definedName name="c_queimaresiduocana_co">'Fatores de emissão'!$D$43</definedName>
    <definedName name="c_queimaresiduocana_n2o">'Fatores de emissão'!$E$43</definedName>
    <definedName name="c_queimaresiduocana_nox">'Fatores de emissão'!$F$43</definedName>
    <definedName name="c_queimaresiduofeijao_ch4">'Fatores de emissão'!$C$47</definedName>
    <definedName name="c_queimaresiduofeijao_co">'Fatores de emissão'!$D$47</definedName>
    <definedName name="c_queimaresiduofeijao_n2o">'Fatores de emissão'!$E$47</definedName>
    <definedName name="c_queimaresiduofeijao_nox">'Fatores de emissão'!$F$47</definedName>
    <definedName name="c_queimaresiduomilho_ch4">'Fatores de emissão'!$C$45</definedName>
    <definedName name="c_queimaresiduomilho_co">'Fatores de emissão'!$D$45</definedName>
    <definedName name="c_queimaresiduomilho_n2o">'Fatores de emissão'!$E$45</definedName>
    <definedName name="c_queimaresiduomilho_nox">'Fatores de emissão'!$F$45</definedName>
    <definedName name="c_queimaresiduosoja_ch4">'Fatores de emissão'!$C$46</definedName>
    <definedName name="c_queimaresiduosoja_co">'Fatores de emissão'!$D$46</definedName>
    <definedName name="c_queimaresiduosoja_n2o">'Fatores de emissão'!$E$46</definedName>
    <definedName name="c_queimaresiduosoja_nox">'Fatores de emissão'!$F$46</definedName>
    <definedName name="c_queimaresiduotrigo_ch4">'Fatores de emissão'!$C$49</definedName>
    <definedName name="c_queimaresiduotrigo_co">'Fatores de emissão'!$D$49</definedName>
    <definedName name="c_queimaresiduotrigo_n2o">'Fatores de emissão'!$E$49</definedName>
    <definedName name="c_queimaresiduotrigo_nox">'Fatores de emissão'!$F$49</definedName>
    <definedName name="c_residuoadubacaoverdegraminea_n2o">'Fatores de emissão'!$D$62</definedName>
    <definedName name="c_residuoadubacaoverdeleguminosa_n2o">'Fatores de emissão'!$D$61</definedName>
    <definedName name="c_residuoadubacaoverdeoutros_n2o">'Fatores de emissão'!$D$63</definedName>
    <definedName name="c_residuoalgodao_n2o">'Fatores de emissão'!$D$60</definedName>
    <definedName name="c_residuoarroz_n2o">'Fatores de emissão'!$D$56</definedName>
    <definedName name="c_residuocanacomqueima_n2o">'Fatores de emissão'!$D$59</definedName>
    <definedName name="c_residuocanasemqueima_n2o">'Fatores de emissão'!$D$58</definedName>
    <definedName name="c_residuofeijao_n2o">'Fatores de emissão'!$D$55</definedName>
    <definedName name="c_residuomilho_n2o">'Fatores de emissão'!$D$54</definedName>
    <definedName name="c_residuosoja_n2o">'Fatores de emissão'!$D$53</definedName>
    <definedName name="c_residuotrigo_n2o">'Fatores de emissão'!$D$57</definedName>
    <definedName name="c_sistmanejdej1">"indefinido"</definedName>
    <definedName name="c_sistmanejdej10">"indefinido"</definedName>
    <definedName name="c_sistmanejdej11">"indefinido"</definedName>
    <definedName name="c_sistmanejdej12">"indefinido"</definedName>
    <definedName name="c_sistmanejdej13">"indefinido"</definedName>
    <definedName name="c_sistmanejdej14">"indefinido"</definedName>
    <definedName name="c_sistmanejdej15">"indefinido"</definedName>
    <definedName name="c_sistmanejdej16">"indefinido"</definedName>
    <definedName name="c_sistmanejdej17">"indefinido"</definedName>
    <definedName name="c_sistmanejdej18">"indefinido"</definedName>
    <definedName name="c_sistmanejdej19">"indefinido"</definedName>
    <definedName name="c_sistmanejdej2">"indefinido"</definedName>
    <definedName name="c_sistmanejdej20">"indefinido"</definedName>
    <definedName name="c_sistmanejdej3">"indefinido"</definedName>
    <definedName name="c_sistmanejdej4">"indefinido"</definedName>
    <definedName name="c_sistmanejdej5">"indefinido"</definedName>
    <definedName name="c_sistmanejdej6">"indefinido"</definedName>
    <definedName name="c_sistmanejdej7">"indefinido"</definedName>
    <definedName name="c_sistmanejdej8">"indefinido"</definedName>
    <definedName name="c_sistmanejdej9">"indefinido"</definedName>
    <definedName name="c_tortafiltro_teornitrogenio">'Fatores variáveis'!$D$42</definedName>
    <definedName name="c_vinhaca_teornitrogenio">'Fatores variáveis'!$D$41</definedName>
    <definedName name="cad_anosafra">Início!$C$21</definedName>
    <definedName name="cad_contatoresponsavel">Início!$C$19</definedName>
    <definedName name="cad_datapreenchimento">Início!$C$20</definedName>
    <definedName name="cad_enderecoorganizacao">Início!$C$16</definedName>
    <definedName name="cad_nomeorganizacao">Início!$C$15</definedName>
    <definedName name="cad_nomeresponsavel">Início!$C$18</definedName>
    <definedName name="cana_adubacaonitrogenadasintetica">'Cana-de-açúcar'!$E$39</definedName>
    <definedName name="cana_adubacaoorganicacompostoorganico">'Cana-de-açúcar'!$E$49</definedName>
    <definedName name="cana_adubacaoorganicaestercoavicola">'Cana-de-açúcar'!$E$51</definedName>
    <definedName name="cana_adubacaoorganicaestercogeral">'Cana-de-açúcar'!$E$50</definedName>
    <definedName name="cana_adubacaoorganicaoutros">'Cana-de-açúcar'!$E$52</definedName>
    <definedName name="cana_adubacaoorganicatortafiltro">'Cana-de-açúcar'!$E$47</definedName>
    <definedName name="cana_adubacaoorganicavinhaca">'Cana-de-açúcar'!$E$46</definedName>
    <definedName name="cana_adubacaoverdegraminea">'Cana-de-açúcar'!$E$56</definedName>
    <definedName name="cana_adubacaoverdeleguminosa">'Cana-de-açúcar'!$E$55</definedName>
    <definedName name="cana_adubacaoverdeoutros">'Cana-de-açúcar'!$E$57</definedName>
    <definedName name="cana_aplicacaofungicida">'Cana-de-açúcar'!$E$63</definedName>
    <definedName name="cana_aplicacaoherbicida">'Cana-de-açúcar'!$E$61</definedName>
    <definedName name="cana_aplicacaoinseticida">'Cana-de-açúcar'!$E$62</definedName>
    <definedName name="cana_aplicacaoureia">'Cana-de-açúcar'!$E$41</definedName>
    <definedName name="cana_areaaplicacaotortadefiltro">'Cana-de-açúcar'!$E$48</definedName>
    <definedName name="cana_areacultivada">'Cana-de-açúcar'!$E$34</definedName>
    <definedName name="cana_areaqueimaresiduos">'Cana-de-açúcar'!$E$32</definedName>
    <definedName name="cana_bioma">'Cana-de-açúcar'!$E$21</definedName>
    <definedName name="cana_calcariocalcitico">'Cana-de-açúcar'!$E$42</definedName>
    <definedName name="cana_calcariodolomitico">'Cana-de-açúcar'!$E$43</definedName>
    <definedName name="cana_ciclocultura">'Cana-de-açúcar'!$E$25</definedName>
    <definedName name="cana_classetexturalsolo">'Cana-de-açúcar'!$E$27</definedName>
    <definedName name="cana_consumodiesel">'Cana-de-açúcar'!$E$82</definedName>
    <definedName name="cana_cultivosoloorganico">'Cana-de-açúcar'!$E$33</definedName>
    <definedName name="cana_datacolheita">'Cana-de-açúcar'!$E$26</definedName>
    <definedName name="cana_datainiciociclo">'listas de formulários'!$Z$3</definedName>
    <definedName name="cana_estado">'Cana-de-açúcar'!$E$18</definedName>
    <definedName name="cana_latitude">'Cana-de-açúcar'!$E$19</definedName>
    <definedName name="cana_longitude">'Cana-de-açúcar'!$E$20</definedName>
    <definedName name="cana_manejosolo">'Cana-de-açúcar'!$E$30</definedName>
    <definedName name="cana_menucombustivelconsumido">'Cana-de-açúcar'!$B$80:$E$82</definedName>
    <definedName name="cana_menuoperacoesmecanizadas">'Cana-de-açúcar'!$B$69:$E$79</definedName>
    <definedName name="cana_nadubosintetico">'Cana-de-açúcar'!$E$40</definedName>
    <definedName name="cana_operacaomecanizada_aracao">'Cana-de-açúcar'!$D$72</definedName>
    <definedName name="cana_operacaomecanizada_aracao_repeticoes">'Cana-de-açúcar'!$E$72</definedName>
    <definedName name="cana_operacaomecanizada_calagem">'Cana-de-açúcar'!$D$75</definedName>
    <definedName name="cana_operacaomecanizada_calagem_repeticoes">'Cana-de-açúcar'!$E$75</definedName>
    <definedName name="cana_operacaomecanizada_cobricao">'Cana-de-açúcar'!$D$77</definedName>
    <definedName name="cana_operacaomecanizada_cobricao_repeticoes">'Cana-de-açúcar'!$E$77</definedName>
    <definedName name="cana_operacaomecanizada_dessecacao">'Cana-de-açúcar'!$D$79</definedName>
    <definedName name="cana_operacaomecanizada_dessecacao_repeticoes">'Cana-de-açúcar'!$E$79</definedName>
    <definedName name="cana_operacaomecanizada_gradagem">'Cana-de-açúcar'!$D$73</definedName>
    <definedName name="cana_operacaomecanizada_gradagem_repeticoes">'Cana-de-açúcar'!$E$73</definedName>
    <definedName name="cana_operacaomecanizada_gradagemniveladora">'Cana-de-açúcar'!$D$74</definedName>
    <definedName name="cana_operacaomecanizada_gradagemniveladora_repeticoes">'Cana-de-açúcar'!$E$74</definedName>
    <definedName name="cana_operacaomecanizada_pulverizacao">'Cana-de-açúcar'!$D$78</definedName>
    <definedName name="cana_operacaomecanizada_pulverizacao_repeticoes">'Cana-de-açúcar'!$E$78</definedName>
    <definedName name="cana_operacaomecanizada_sulcacao">'Cana-de-açúcar'!$D$76</definedName>
    <definedName name="cana_operacaomecanizada_sulcacao_repeticoes">'Cana-de-açúcar'!$E$76</definedName>
    <definedName name="cana_operacaomecanizada_terraceamento">'Cana-de-açúcar'!$D$71</definedName>
    <definedName name="cana_operacaomecanizada_terraceamento_repeticoes">'Cana-de-açúcar'!$E$71</definedName>
    <definedName name="cana_produtividademedia">'Cana-de-açúcar'!$E$35</definedName>
    <definedName name="cana_tempoadocaosistema">'Cana-de-açúcar'!$E$31</definedName>
    <definedName name="cana_teorargilasolo">'Cana-de-açúcar'!$E$28</definedName>
    <definedName name="cana_tipocombustivel">'Cana-de-açúcar'!$E$67</definedName>
    <definedName name="cana_tipoconsumocombustivel">'Cana-de-açúcar'!$E$68</definedName>
    <definedName name="cana_usoanteriorterra">'Cana-de-açúcar'!$E$29</definedName>
    <definedName name="compraenergia_anobase">'Compra de energia elétrica'!$E$24</definedName>
    <definedName name="compraenergia_consumototal">'Compra de energia elétrica'!$E$23</definedName>
    <definedName name="consumoenergia_datafinal">'Compra de energia elétrica'!$D$19</definedName>
    <definedName name="consumoenergia_datainicial">'Compra de energia elétrica'!$B$19</definedName>
    <definedName name="conversor_co_co2">'Fatores variáveis'!$E$24</definedName>
    <definedName name="conversor_no2_n2o">'Fatores variáveis'!$E$25</definedName>
    <definedName name="energiaeletrica_consumoanual">'Compra de energia elétrica'!$B$25:$E$25</definedName>
    <definedName name="energiaeletrica_consumomensalmedio">'Compra de energia elétrica'!$B$20</definedName>
    <definedName name="feijao_adubacaonitrogenadasintetica">Feijão!$E$39</definedName>
    <definedName name="feijao_adubacaoorganicacompostoorganico">Feijão!$E$46</definedName>
    <definedName name="feijao_adubacaoorganicaestercoavicola">Feijão!$E$48</definedName>
    <definedName name="feijao_adubacaoorganicaestercogeral">Feijão!$E$47</definedName>
    <definedName name="feijao_adubacaoorganicaoutros">Feijão!$E$49</definedName>
    <definedName name="feijao_adubacaoverdegraminea">Feijão!$E$53</definedName>
    <definedName name="feijao_adubacaoverdeleguminosa">Feijão!$E$52</definedName>
    <definedName name="feijao_adubacaoverdeoutros">Feijão!$E$54</definedName>
    <definedName name="feijao_aplicacaofungicida">Feijão!$E$60</definedName>
    <definedName name="feijao_aplicacaoherbicida">Feijão!$E$58</definedName>
    <definedName name="feijao_aplicacaoinseticida">Feijão!$E$59</definedName>
    <definedName name="feijao_aplicacaoureia">Feijão!$E$41</definedName>
    <definedName name="feijao_areacultivada">Feijão!$E$34</definedName>
    <definedName name="feijao_areaqueimaresiduos">Feijão!$E$32</definedName>
    <definedName name="feijao_bioma">Feijão!$E$21</definedName>
    <definedName name="feijao_calcariocalcitico">Feijão!$E$42</definedName>
    <definedName name="feijao_calcariodolomitico">Feijão!$E$43</definedName>
    <definedName name="feijao_classetexturalsolo">Feijão!$E$27</definedName>
    <definedName name="feijao_consumodiesel">Feijão!$E$80</definedName>
    <definedName name="feijao_cultivosoloorganico">Feijão!$E$33</definedName>
    <definedName name="feijao_datacolheita">Feijão!$E$26</definedName>
    <definedName name="feijao_dataplantio">Feijão!$E$25</definedName>
    <definedName name="feijao_estado">Feijão!$E$18</definedName>
    <definedName name="feijao_latitude">Feijão!$E$19</definedName>
    <definedName name="feijao_longitude">Feijão!$E$20</definedName>
    <definedName name="feijao_manejosolo">Feijão!$E$30</definedName>
    <definedName name="feijao_menucombustivelconsumido">Feijão!$B$78:$E$80</definedName>
    <definedName name="feijao_menuoperacoesmecanizadas">Feijão!$B$66:$E$77</definedName>
    <definedName name="feijao_nadubosintetico">Feijão!$E$40</definedName>
    <definedName name="feijao_operacaomecanizada_adubacaodecobertura">Feijão!$D$73</definedName>
    <definedName name="feijao_operacaomecanizada_adubacaodecobertura_repeticoes">Feijão!$E$73</definedName>
    <definedName name="feijao_operacaomecanizada_aplicacaodefungicida">Feijão!$D$75</definedName>
    <definedName name="feijao_operacaomecanizada_aplicacaodefungicida_repeticoes">Feijão!$E$75</definedName>
    <definedName name="feijao_operacaomecanizada_aplicacaoherbicidaposemergente">Feijão!$D$74</definedName>
    <definedName name="feijao_operacaomecanizada_aplicacaoherbicidaposemergente_repeticoes">Feijão!$E$74</definedName>
    <definedName name="feijao_operacaomecanizada_aracao">Feijão!$D$69</definedName>
    <definedName name="feijao_operacaomecanizada_aracao_repeticoes">Feijão!$E$69</definedName>
    <definedName name="feijao_operacaomecanizada_calagem">Feijão!$D$68</definedName>
    <definedName name="feijao_operacaomecanizada_calagem_repeticoes">Feijão!$E$68</definedName>
    <definedName name="feijao_operacaomecanizada_gradagemniveladora">Feijão!$D$70</definedName>
    <definedName name="feijao_operacaomecanizada_gradagemniveladora_repeticoes">Feijão!$E$70</definedName>
    <definedName name="feijao_operacaomecanizada_plantio">Feijão!$D$71</definedName>
    <definedName name="feijao_operacaomecanizada_plantio_repeticoes">Feijão!$E$71</definedName>
    <definedName name="feijao_operacaomecanizada_transporteinternodaproducao">Feijão!$D$77</definedName>
    <definedName name="feijao_operacaomecanizada_transporteinternodaproducao_repeticoes">Feijão!$E$77</definedName>
    <definedName name="feijao_operacaomecanizada_transporteinternodeinsumosparaplantio">Feijão!$D$72</definedName>
    <definedName name="feijao_operacaomecanizada_transporteinternodeinsumosparaplantio_repeticoes">Feijão!$E$72</definedName>
    <definedName name="feijao_operacaomecanizada_trilhacombatedeiradecereais">Feijão!$D$76</definedName>
    <definedName name="feijao_operacaomecanizada_trilhacombatedeiradecereais_repeticoes">Feijão!$E$76</definedName>
    <definedName name="feijao_produtividademedia">Feijão!$E$35</definedName>
    <definedName name="feijao_tempoadocaosistema">Feijão!$E$31</definedName>
    <definedName name="feijao_teorargilasolo">Feijão!$E$28</definedName>
    <definedName name="feijao_tipocombustivel">Feijão!$E$64</definedName>
    <definedName name="feijao_tipoconsumocombustivel">Feijão!$E$65</definedName>
    <definedName name="feijao_usoanteriorterra">Feijão!$E$29</definedName>
    <definedName name="lista_arroz_materiaorganica_quantidade">'listas de formulários'!$L$3:$L$8</definedName>
    <definedName name="lista_arroz_preparosolo">'listas de formulários'!$N$3:$N$4</definedName>
    <definedName name="lista_arroz_terrasbaixas_regimechuvas">'listas de formulários'!$M$3:$M$10</definedName>
    <definedName name="lista_binaria">'listas de formulários'!$I$3:$I$4</definedName>
    <definedName name="lista_bioma">'listas de formulários'!$C$3:$C$7</definedName>
    <definedName name="lista_cana_ciclo">'listas de formulários'!$Y$3:$Y$4</definedName>
    <definedName name="lista_cana_sistemamanejoatual">'listas de formulários'!$X$3:$X$4</definedName>
    <definedName name="lista_cana_usoanteriorterra">'listas de formulários'!$W$3:$W$6</definedName>
    <definedName name="lista_classetexturalsolo">'listas de formulários'!$E$3:$E$5</definedName>
    <definedName name="lista_compraenergiaeletrica_anobase">'listas de formulários'!$AB$3:$AB$11</definedName>
    <definedName name="lista_idade_rebanho">'listas de formulários'!$U$3:$U$6</definedName>
    <definedName name="lista_pastagempecuaria_manejodejetos">'listas de formulários'!$S$3:$S$11</definedName>
    <definedName name="lista_pastagempecuaria_sexo">'listas de formulários'!$T$3:$T$4</definedName>
    <definedName name="lista_pastagempecuaria_sistemaatual">'listas de formulários'!$Q$3:$Q$7</definedName>
    <definedName name="lista_pastagempecuaria_tipoanimais">'listas de formulários'!$R$3:$R$16</definedName>
    <definedName name="lista_pastagempecuaria_usoanterior">'listas de formulários'!$P$3:$P$7</definedName>
    <definedName name="lista_tempoadocao">'listas de formulários'!$B$3:$B$4</definedName>
    <definedName name="lista_teorargila">'listas de formulários'!$D$3:$D$4</definedName>
    <definedName name="lista_tipocombustivel">'listas de formulários'!$J$3:$J$7</definedName>
    <definedName name="lista_tipoconsumodiesel">'listas de formulários'!$F$3:$F$4</definedName>
    <definedName name="lista_uf">'listas de formulários'!$A$3:$A$29</definedName>
    <definedName name="lista_usoanteriorterra">'listas de formulários'!$G$3:$G$6</definedName>
    <definedName name="lista_usoatualterra">'listas de formulários'!$H$3:$H$6</definedName>
    <definedName name="milho_adubacaonitrogenadasintetica">Milho!$E$39</definedName>
    <definedName name="milho_adubacaoorganicacompostoorganico">Milho!$E$46</definedName>
    <definedName name="milho_adubacaoorganicaestercoavicola">Milho!$E$48</definedName>
    <definedName name="milho_adubacaoorganicaestercogeral">Milho!$E$47</definedName>
    <definedName name="milho_adubacaoorganicaoutros">Milho!$E$49</definedName>
    <definedName name="milho_adubacaoverdegraminea">Milho!$E$53</definedName>
    <definedName name="milho_adubacaoverdeleguminosa">Milho!$E$52</definedName>
    <definedName name="milho_adubacaoverdeoutros">Milho!$E$54</definedName>
    <definedName name="milho_aplicacaofungicida">Milho!$E$60</definedName>
    <definedName name="milho_aplicacaoherbicida">Milho!$E$58</definedName>
    <definedName name="milho_aplicacaoinseticida">Milho!$E$59</definedName>
    <definedName name="milho_aplicacaoureia">Milho!$E$41</definedName>
    <definedName name="milho_areacultivada">Milho!$E$34</definedName>
    <definedName name="milho_areaqueimaresiduos">Milho!$E$32</definedName>
    <definedName name="milho_bioma">Milho!$E$21</definedName>
    <definedName name="milho_calcariocalcitico">Milho!$E$42</definedName>
    <definedName name="milho_calcariodolomitico">Milho!$E$43</definedName>
    <definedName name="milho_classetexturalsolo">Milho!$E$27</definedName>
    <definedName name="milho_consumodiesel">Milho!$E$80</definedName>
    <definedName name="milho_cultivosoloorganico">Milho!$E$33</definedName>
    <definedName name="milho_datacolheita">Milho!$E$26</definedName>
    <definedName name="milho_dataplantio">Milho!$E$25</definedName>
    <definedName name="milho_emissaoporarea">Milho!$E$86</definedName>
    <definedName name="milho_emissaoporproducao">Milho!$E$88</definedName>
    <definedName name="milho_emissaototal">Milho!$E$84</definedName>
    <definedName name="milho_estado">Milho!$E$18</definedName>
    <definedName name="milho_latitude">Milho!$E$19</definedName>
    <definedName name="milho_longitude">Milho!$E$20</definedName>
    <definedName name="milho_manejosolo">Milho!$E$30</definedName>
    <definedName name="milho_menucombustivelconsumido">Milho!$B$78:$E$80</definedName>
    <definedName name="milho_menuoperacoesmecanizadas">Milho!$B$66:$E$77</definedName>
    <definedName name="milho_nadubosintetico">Milho!$E$40</definedName>
    <definedName name="milho_operacaomecanizada_adubacaodecobertura">Milho!$D$73</definedName>
    <definedName name="milho_operacaomecanizada_adubacaodecobertura_repeticoes">Milho!$E$73</definedName>
    <definedName name="milho_operacaomecanizada_aplicacaoherbicida">Milho!$D$74</definedName>
    <definedName name="milho_operacaomecanizada_aplicacaoherbicida_repeticoes">Milho!$E$74</definedName>
    <definedName name="milho_operacaomecanizada_aplicacaoinseticida">Milho!$D$75</definedName>
    <definedName name="milho_operacaomecanizada_aplicacaoinseticida_repeticoes">Milho!$E$75</definedName>
    <definedName name="milho_operacaomecanizada_calagem">Milho!$D$68</definedName>
    <definedName name="milho_operacaomecanizada_calagem_repeticoes">Milho!$E$68</definedName>
    <definedName name="milho_operacaomecanizada_colheita">Milho!$D$77</definedName>
    <definedName name="milho_operacaomecanizada_colheita_repeticoes">Milho!$E$77</definedName>
    <definedName name="milho_operacaomecanizada_gradagemaradora">Milho!$D$69</definedName>
    <definedName name="milho_operacaomecanizada_gradagemaradora_repeticoes">Milho!$E$69</definedName>
    <definedName name="milho_operacaomecanizada_gradagemniveladora">Milho!$D$70</definedName>
    <definedName name="milho_operacaomecanizada_gradagemniveladora_repeticoes">Milho!$E$70</definedName>
    <definedName name="milho_operacaomecanizada_plantiocomadubacao">Milho!$D$71</definedName>
    <definedName name="milho_operacaomecanizada_plantiocomadubacao_repeticoes">Milho!$E$71</definedName>
    <definedName name="milho_operacaomecanizada_transporteinternoparacolheita">Milho!$D$76</definedName>
    <definedName name="milho_operacaomecanizada_transporteinternoparacolheita_repeticoes">Milho!$E$76</definedName>
    <definedName name="milho_operacaomecanizada_transporteinternoparaplantio">Milho!$D$72</definedName>
    <definedName name="milho_operacaomecanizada_transporteinternoparaplantio_repeticoes">Milho!$E$72</definedName>
    <definedName name="milho_produtividademedia">Milho!$E$35</definedName>
    <definedName name="milho_tempoadocaosistema">Milho!$E$31</definedName>
    <definedName name="milho_teorargilasolo">Milho!$E$28</definedName>
    <definedName name="milho_tipocombustivel">Milho!$E$64</definedName>
    <definedName name="milho_tipoconsumocombustivel">Milho!$E$65</definedName>
    <definedName name="milho_usoanteriorterra">Milho!$E$29</definedName>
    <definedName name="mistura_diesel_algodao">"indefinido"</definedName>
    <definedName name="mistura_diesel_arroz">"indefinido"</definedName>
    <definedName name="mistura_diesel_cana">"indefinido"</definedName>
    <definedName name="mistura_diesel_feijao">"indefinido"</definedName>
    <definedName name="mistura_diesel_milho">"indefinido"</definedName>
    <definedName name="mistura_diesel_pastagempecuaria">"indefinido"</definedName>
    <definedName name="mistura_diesel_soja">"indefinido"</definedName>
    <definedName name="mistura_diesel_trigo">"indefinido"</definedName>
    <definedName name="pag_ch4">'Fatores variáveis'!$D$20</definedName>
    <definedName name="pag_co2">'Fatores variáveis'!$D$18</definedName>
    <definedName name="pag_n2o">'Fatores variáveis'!$D$19</definedName>
    <definedName name="pecuariapastagem_adubacaonitrogenadasintetica">'Pecuária e pastagem'!$E$35</definedName>
    <definedName name="pecuariapastagem_adubacaoorganicacompostoorganico">'Pecuária e pastagem'!$E$42</definedName>
    <definedName name="pecuariapastagem_adubacaoorganicaestercoavicola">'Pecuária e pastagem'!$E$44</definedName>
    <definedName name="pecuariapastagem_adubacaoorganicaestercogeral">'Pecuária e pastagem'!$E$43</definedName>
    <definedName name="pecuariapastagem_adubacaoorganicaoutros">'Pecuária e pastagem'!$E$45</definedName>
    <definedName name="pecuariapastagem_adubacaoverdegraminea">'Pecuária e pastagem'!$E$49</definedName>
    <definedName name="pecuariapastagem_adubacaoverdeleguminosa">'Pecuária e pastagem'!$E$48</definedName>
    <definedName name="pecuariapastagem_adubacaoverdeoutros">'Pecuária e pastagem'!$E$50</definedName>
    <definedName name="pecuariapastagem_aplicacaofungicida">'Pecuária e pastagem'!$E$56</definedName>
    <definedName name="pecuariapastagem_aplicacaoherbicida">'Pecuária e pastagem'!$E$54</definedName>
    <definedName name="pecuariapastagem_aplicacaoinseticida">'Pecuária e pastagem'!$E$55</definedName>
    <definedName name="pecuariapastagem_aplicacaoureia">'Pecuária e pastagem'!$E$37</definedName>
    <definedName name="pecuariapastagem_areacultivada">'Pecuária e pastagem'!$E$31</definedName>
    <definedName name="pecuariapastagem_bioma">'Pecuária e pastagem'!$E$21</definedName>
    <definedName name="pecuariapastagem_calcariocalcitico">'Pecuária e pastagem'!$E$38</definedName>
    <definedName name="pecuariapastagem_calcariodolomitico">'Pecuária e pastagem'!$E$39</definedName>
    <definedName name="pecuariapastagem_classetexturalsolo">'Pecuária e pastagem'!$E$25</definedName>
    <definedName name="pecuariapastagem_consumodiesel">'Pecuária e pastagem'!$E$68</definedName>
    <definedName name="pecuariapastagem_cultivosoloorganico">'Pecuária e pastagem'!$E$30</definedName>
    <definedName name="pecuariapastagem_dataentrada">'Pecuária e pastagem'!$G$72:$G$91</definedName>
    <definedName name="pecuariapastagem_dataentradaanimais1">'Pecuária e pastagem'!$G$72</definedName>
    <definedName name="pecuariapastagem_dataentradaanimais10">'Pecuária e pastagem'!$G$81</definedName>
    <definedName name="pecuariapastagem_dataentradaanimais11">'Pecuária e pastagem'!$G$82</definedName>
    <definedName name="pecuariapastagem_dataentradaanimais12">'Pecuária e pastagem'!$G$83</definedName>
    <definedName name="pecuariapastagem_dataentradaanimais13">'Pecuária e pastagem'!$G$84</definedName>
    <definedName name="pecuariapastagem_dataentradaanimais14">'Pecuária e pastagem'!$G$85</definedName>
    <definedName name="pecuariapastagem_dataentradaanimais15">'Pecuária e pastagem'!$G$86</definedName>
    <definedName name="pecuariapastagem_dataentradaanimais16">'Pecuária e pastagem'!$G$87</definedName>
    <definedName name="pecuariapastagem_dataentradaanimais17">'Pecuária e pastagem'!$G$88</definedName>
    <definedName name="pecuariapastagem_dataentradaanimais18">'Pecuária e pastagem'!$G$89</definedName>
    <definedName name="pecuariapastagem_dataentradaanimais19">'Pecuária e pastagem'!$G$90</definedName>
    <definedName name="pecuariapastagem_dataentradaanimais2">'Pecuária e pastagem'!$G$73</definedName>
    <definedName name="pecuariapastagem_dataentradaanimais20">'Pecuária e pastagem'!$G$91</definedName>
    <definedName name="pecuariapastagem_dataentradaanimais3">'Pecuária e pastagem'!$G$74</definedName>
    <definedName name="pecuariapastagem_dataentradaanimais4">'Pecuária e pastagem'!$G$75</definedName>
    <definedName name="pecuariapastagem_dataentradaanimais5">'Pecuária e pastagem'!$G$76</definedName>
    <definedName name="pecuariapastagem_dataentradaanimais6">'Pecuária e pastagem'!$G$77</definedName>
    <definedName name="pecuariapastagem_dataentradaanimais7">'Pecuária e pastagem'!$G$78</definedName>
    <definedName name="pecuariapastagem_dataentradaanimais8">'Pecuária e pastagem'!$G$79</definedName>
    <definedName name="pecuariapastagem_dataentradaanimais9">'Pecuária e pastagem'!$G$80</definedName>
    <definedName name="pecuariapastagem_datasaida">'Pecuária e pastagem'!$H$72:$H$91</definedName>
    <definedName name="pecuariapastagem_datasaidaanimais1">'Pecuária e pastagem'!$H$72</definedName>
    <definedName name="pecuariapastagem_datasaidaanimais10">'Pecuária e pastagem'!$H$81</definedName>
    <definedName name="pecuariapastagem_datasaidaanimais11">'Pecuária e pastagem'!$H$82</definedName>
    <definedName name="pecuariapastagem_datasaidaanimais12">'Pecuária e pastagem'!$H$83</definedName>
    <definedName name="pecuariapastagem_datasaidaanimais13">'Pecuária e pastagem'!$H$84</definedName>
    <definedName name="pecuariapastagem_datasaidaanimais14">'Pecuária e pastagem'!$H$85</definedName>
    <definedName name="pecuariapastagem_datasaidaanimais15">'Pecuária e pastagem'!$H$86</definedName>
    <definedName name="pecuariapastagem_datasaidaanimais16">'Pecuária e pastagem'!$H$87</definedName>
    <definedName name="pecuariapastagem_datasaidaanimais17">'Pecuária e pastagem'!$H$88</definedName>
    <definedName name="pecuariapastagem_datasaidaanimais18">'Pecuária e pastagem'!$H$89</definedName>
    <definedName name="pecuariapastagem_datasaidaanimais19">'Pecuária e pastagem'!$H$90</definedName>
    <definedName name="pecuariapastagem_datasaidaanimais2">'Pecuária e pastagem'!$H$73</definedName>
    <definedName name="pecuariapastagem_datasaidaanimais20">'Pecuária e pastagem'!$H$91</definedName>
    <definedName name="pecuariapastagem_datasaidaanimais3">'Pecuária e pastagem'!$H$74</definedName>
    <definedName name="pecuariapastagem_datasaidaanimais4">'Pecuária e pastagem'!$H$75</definedName>
    <definedName name="pecuariapastagem_datasaidaanimais5">'Pecuária e pastagem'!$H$76</definedName>
    <definedName name="pecuariapastagem_datasaidaanimais6">'Pecuária e pastagem'!$H$77</definedName>
    <definedName name="pecuariapastagem_datasaidaanimais7">'Pecuária e pastagem'!$H$78</definedName>
    <definedName name="pecuariapastagem_datasaidaanimais8">'Pecuária e pastagem'!$H$79</definedName>
    <definedName name="pecuariapastagem_datasaidaanimais9">'Pecuária e pastagem'!$H$80</definedName>
    <definedName name="pecuariapastagem_estado">'Pecuária e pastagem'!$E$18</definedName>
    <definedName name="pecuariapastagem_idaderebanho1">'Pecuária e pastagem'!$D$72</definedName>
    <definedName name="pecuariapastagem_idaderebanho10">'Pecuária e pastagem'!$D$81</definedName>
    <definedName name="pecuariapastagem_idaderebanho11">'Pecuária e pastagem'!$D$82</definedName>
    <definedName name="pecuariapastagem_idaderebanho12">'Pecuária e pastagem'!$D$83</definedName>
    <definedName name="pecuariapastagem_idaderebanho13">'Pecuária e pastagem'!$D$84</definedName>
    <definedName name="pecuariapastagem_idaderebanho14">'Pecuária e pastagem'!$D$85</definedName>
    <definedName name="pecuariapastagem_idaderebanho15">'Pecuária e pastagem'!$D$86</definedName>
    <definedName name="pecuariapastagem_idaderebanho16">'Pecuária e pastagem'!$D$87</definedName>
    <definedName name="pecuariapastagem_idaderebanho17">'Pecuária e pastagem'!$D$88</definedName>
    <definedName name="pecuariapastagem_idaderebanho18">'Pecuária e pastagem'!$D$89</definedName>
    <definedName name="pecuariapastagem_idaderebanho19">'Pecuária e pastagem'!$D$90</definedName>
    <definedName name="pecuariapastagem_idaderebanho2">'Pecuária e pastagem'!$D$73</definedName>
    <definedName name="pecuariapastagem_idaderebanho20">'Pecuária e pastagem'!$D$91</definedName>
    <definedName name="pecuariapastagem_idaderebanho3">'Pecuária e pastagem'!$D$74</definedName>
    <definedName name="pecuariapastagem_idaderebanho4">'Pecuária e pastagem'!$D$75</definedName>
    <definedName name="pecuariapastagem_idaderebanho5">'Pecuária e pastagem'!$D$76</definedName>
    <definedName name="pecuariapastagem_idaderebanho6">'Pecuária e pastagem'!$D$77</definedName>
    <definedName name="pecuariapastagem_idaderebanho7">'Pecuária e pastagem'!$D$78</definedName>
    <definedName name="pecuariapastagem_idaderebanho8">'Pecuária e pastagem'!$D$79</definedName>
    <definedName name="pecuariapastagem_idaderebanho9">'Pecuária e pastagem'!$D$80</definedName>
    <definedName name="pecuariapastagem_latitude">'Pecuária e pastagem'!$E$19</definedName>
    <definedName name="pecuariapastagem_longitude">'Pecuária e pastagem'!$E$20</definedName>
    <definedName name="pecuariapastagem_manejodejetos1">'Pecuária e pastagem'!$F$72</definedName>
    <definedName name="pecuariapastagem_manejodejetos10">'Pecuária e pastagem'!$F$81</definedName>
    <definedName name="pecuariapastagem_manejodejetos11">'Pecuária e pastagem'!$F$82</definedName>
    <definedName name="pecuariapastagem_manejodejetos12">'Pecuária e pastagem'!$F$83</definedName>
    <definedName name="pecuariapastagem_manejodejetos13">'Pecuária e pastagem'!$F$84</definedName>
    <definedName name="pecuariapastagem_manejodejetos14">'Pecuária e pastagem'!$F$85</definedName>
    <definedName name="pecuariapastagem_manejodejetos15">'Pecuária e pastagem'!$F$86</definedName>
    <definedName name="pecuariapastagem_manejodejetos16">'Pecuária e pastagem'!$F$87</definedName>
    <definedName name="pecuariapastagem_manejodejetos17">'Pecuária e pastagem'!$F$88</definedName>
    <definedName name="pecuariapastagem_manejodejetos18">'Pecuária e pastagem'!$F$89</definedName>
    <definedName name="pecuariapastagem_manejodejetos19">'Pecuária e pastagem'!$F$90</definedName>
    <definedName name="pecuariapastagem_manejodejetos2">'Pecuária e pastagem'!$F$73</definedName>
    <definedName name="pecuariapastagem_manejodejetos20">'Pecuária e pastagem'!$F$91</definedName>
    <definedName name="pecuariapastagem_manejodejetos3">'Pecuária e pastagem'!$F$74</definedName>
    <definedName name="pecuariapastagem_manejodejetos4">'Pecuária e pastagem'!$F$75</definedName>
    <definedName name="pecuariapastagem_manejodejetos5">'Pecuária e pastagem'!$F$76</definedName>
    <definedName name="pecuariapastagem_manejodejetos6">'Pecuária e pastagem'!$F$77</definedName>
    <definedName name="pecuariapastagem_manejodejetos7">'Pecuária e pastagem'!$F$78</definedName>
    <definedName name="pecuariapastagem_manejodejetos8">'Pecuária e pastagem'!$F$79</definedName>
    <definedName name="pecuariapastagem_manejodejetos9">'Pecuária e pastagem'!$F$80</definedName>
    <definedName name="pecuariapastagem_menucombustivelconsumido">'Pecuária e pastagem'!$B$66:$E$68</definedName>
    <definedName name="pecuariapastagem_menuoperacoesmecanizadas">'Pecuária e pastagem'!$B$62:$E$65</definedName>
    <definedName name="pecuariapastagem_nadubosintetico">'Pecuária e pastagem'!$E$36</definedName>
    <definedName name="pecuariapastagem_numeroanimais1">'Pecuária e pastagem'!$E$72</definedName>
    <definedName name="pecuariapastagem_numeroanimais10">'Pecuária e pastagem'!$E$81</definedName>
    <definedName name="pecuariapastagem_numeroanimais11">'Pecuária e pastagem'!$E$82</definedName>
    <definedName name="pecuariapastagem_numeroanimais12">'Pecuária e pastagem'!$E$83</definedName>
    <definedName name="pecuariapastagem_numeroanimais13">'Pecuária e pastagem'!$E$84</definedName>
    <definedName name="pecuariapastagem_numeroanimais14">'Pecuária e pastagem'!$E$85</definedName>
    <definedName name="pecuariapastagem_numeroanimais15">'Pecuária e pastagem'!$E$86</definedName>
    <definedName name="pecuariapastagem_numeroanimais16">'Pecuária e pastagem'!$E$87</definedName>
    <definedName name="pecuariapastagem_numeroanimais17">'Pecuária e pastagem'!$E$88</definedName>
    <definedName name="pecuariapastagem_numeroanimais18">'Pecuária e pastagem'!$E$89</definedName>
    <definedName name="pecuariapastagem_numeroanimais19">'Pecuária e pastagem'!$E$90</definedName>
    <definedName name="pecuariapastagem_numeroanimais2">'Pecuária e pastagem'!$E$73</definedName>
    <definedName name="pecuariapastagem_numeroanimais20">'Pecuária e pastagem'!$E$91</definedName>
    <definedName name="pecuariapastagem_numeroanimais3">'Pecuária e pastagem'!$E$74</definedName>
    <definedName name="pecuariapastagem_numeroanimais4">'Pecuária e pastagem'!$E$75</definedName>
    <definedName name="pecuariapastagem_numeroanimais5">'Pecuária e pastagem'!$E$76</definedName>
    <definedName name="pecuariapastagem_numeroanimais6">'Pecuária e pastagem'!$E$77</definedName>
    <definedName name="pecuariapastagem_numeroanimais7">'Pecuária e pastagem'!$E$78</definedName>
    <definedName name="pecuariapastagem_numeroanimais8">'Pecuária e pastagem'!$E$79</definedName>
    <definedName name="pecuariapastagem_numeroanimais9">'Pecuária e pastagem'!$E$80</definedName>
    <definedName name="pecuariapastagem_operacaomecanizada_adubacaodecobertura">'Pecuária e pastagem'!$D$65</definedName>
    <definedName name="pecuariapastagem_operacaomecanizada_adubacaodecobertura_repeticoes">'Pecuária e pastagem'!$E$65</definedName>
    <definedName name="pecuariapastagem_operacaomecanizada_calagem">'Pecuária e pastagem'!$D$64</definedName>
    <definedName name="pecuariapastagem_operacaomecanizada_calagem_repeticoes">'Pecuária e pastagem'!$E$64</definedName>
    <definedName name="pecuariapastagem_sexo1">'Pecuária e pastagem'!$C$72</definedName>
    <definedName name="pecuariapastagem_sexo10">'Pecuária e pastagem'!$C$81</definedName>
    <definedName name="pecuariapastagem_sexo11">'Pecuária e pastagem'!$C$82</definedName>
    <definedName name="pecuariapastagem_sexo12">'Pecuária e pastagem'!$C$83</definedName>
    <definedName name="pecuariapastagem_sexo13">'Pecuária e pastagem'!$C$84</definedName>
    <definedName name="pecuariapastagem_sexo14">'Pecuária e pastagem'!$C$85</definedName>
    <definedName name="pecuariapastagem_sexo15">'Pecuária e pastagem'!$C$86</definedName>
    <definedName name="pecuariapastagem_sexo16">'Pecuária e pastagem'!$C$87</definedName>
    <definedName name="pecuariapastagem_sexo17">'Pecuária e pastagem'!$C$88</definedName>
    <definedName name="pecuariapastagem_sexo18">'Pecuária e pastagem'!$C$89</definedName>
    <definedName name="pecuariapastagem_sexo19">'Pecuária e pastagem'!$C$90</definedName>
    <definedName name="pecuariapastagem_sexo2">'Pecuária e pastagem'!$C$73</definedName>
    <definedName name="pecuariapastagem_sexo20">'Pecuária e pastagem'!$C$91</definedName>
    <definedName name="pecuariapastagem_sexo3">'Pecuária e pastagem'!$C$74</definedName>
    <definedName name="pecuariapastagem_sexo4">'Pecuária e pastagem'!$C$75</definedName>
    <definedName name="pecuariapastagem_sexo5">'Pecuária e pastagem'!$C$76</definedName>
    <definedName name="pecuariapastagem_sexo6">'Pecuária e pastagem'!$C$77</definedName>
    <definedName name="pecuariapastagem_sexo7">'Pecuária e pastagem'!$C$78</definedName>
    <definedName name="pecuariapastagem_sexo8">'Pecuária e pastagem'!$C$79</definedName>
    <definedName name="pecuariapastagem_sexo9">'Pecuária e pastagem'!$C$80</definedName>
    <definedName name="pecuariapastagem_situacaopastagem">'Pecuária e pastagem'!$E$28</definedName>
    <definedName name="pecuariapastagem_tabelaanimais">'Pecuária e pastagem'!$B$72:$H$91</definedName>
    <definedName name="pecuariapastagem_temponasituacao">'Pecuária e pastagem'!$E$29</definedName>
    <definedName name="pecuariapastagem_teorargilasolo">'Pecuária e pastagem'!$E$26</definedName>
    <definedName name="pecuariapastagem_tipoanimalcriado1">'Pecuária e pastagem'!$B$72</definedName>
    <definedName name="pecuariapastagem_tipoanimalcriado10">'Pecuária e pastagem'!$B$81</definedName>
    <definedName name="pecuariapastagem_tipoanimalcriado11">'Pecuária e pastagem'!$B$82</definedName>
    <definedName name="pecuariapastagem_tipoanimalcriado12">'Pecuária e pastagem'!$B$83</definedName>
    <definedName name="pecuariapastagem_tipoanimalcriado13">'Pecuária e pastagem'!$B$84</definedName>
    <definedName name="pecuariapastagem_tipoanimalcriado14">'Pecuária e pastagem'!$B$85</definedName>
    <definedName name="pecuariapastagem_tipoanimalcriado15">'Pecuária e pastagem'!$B$86</definedName>
    <definedName name="pecuariapastagem_tipoanimalcriado16">'Pecuária e pastagem'!$B$87</definedName>
    <definedName name="pecuariapastagem_tipoanimalcriado17">'Pecuária e pastagem'!$B$88</definedName>
    <definedName name="pecuariapastagem_tipoanimalcriado18">'Pecuária e pastagem'!$B$89</definedName>
    <definedName name="pecuariapastagem_tipoanimalcriado19">'Pecuária e pastagem'!$B$90</definedName>
    <definedName name="pecuariapastagem_tipoanimalcriado2">'Pecuária e pastagem'!$B$73</definedName>
    <definedName name="pecuariapastagem_tipoanimalcriado20">'Pecuária e pastagem'!$B$91</definedName>
    <definedName name="pecuariapastagem_tipoanimalcriado3">'Pecuária e pastagem'!$B$74</definedName>
    <definedName name="pecuariapastagem_tipoanimalcriado4">'Pecuária e pastagem'!$B$75</definedName>
    <definedName name="pecuariapastagem_tipoanimalcriado5">'Pecuária e pastagem'!$B$76</definedName>
    <definedName name="pecuariapastagem_tipoanimalcriado6">'Pecuária e pastagem'!$B$77</definedName>
    <definedName name="pecuariapastagem_tipoanimalcriado7">'Pecuária e pastagem'!$B$78</definedName>
    <definedName name="pecuariapastagem_tipoanimalcriado8">'Pecuária e pastagem'!$B$79</definedName>
    <definedName name="pecuariapastagem_tipoanimalcriado9">'Pecuária e pastagem'!$B$80</definedName>
    <definedName name="pecuariapastagem_tipocombustivel">'Pecuária e pastagem'!$E$60</definedName>
    <definedName name="pecuariapastagem_tipoconsumocombustivel">'Pecuária e pastagem'!$E$61</definedName>
    <definedName name="pecuariapastagem_usoanteriorterra">'Pecuária e pastagem'!$E$27</definedName>
    <definedName name="soja_adubacaonitrogenadasintetica">Soja!$E$39</definedName>
    <definedName name="soja_adubacaoorganicacompostoorganico">Soja!$E$46</definedName>
    <definedName name="soja_adubacaoorganicaestercoavicola">Soja!$E$48</definedName>
    <definedName name="soja_adubacaoorganicaestercogeral">Soja!$E$47</definedName>
    <definedName name="soja_adubacaoorganicaoutros">Soja!$E$49</definedName>
    <definedName name="soja_adubacaoverdegraminea">Soja!$E$53</definedName>
    <definedName name="soja_adubacaoverdeleguminosa">Soja!$E$52</definedName>
    <definedName name="soja_adubacaoverdeoutros">Soja!$E$54</definedName>
    <definedName name="soja_aplicacaofungicida">Soja!$E$60</definedName>
    <definedName name="soja_aplicacaoherbicida">Soja!$E$58</definedName>
    <definedName name="soja_aplicacaoinseticida">Soja!$E$59</definedName>
    <definedName name="soja_aplicacaoureia">Soja!$E$41</definedName>
    <definedName name="soja_areacultivada">Soja!$E$34</definedName>
    <definedName name="soja_areaqueimaresiduos">Soja!$E$32</definedName>
    <definedName name="soja_bioma">Soja!$E$21</definedName>
    <definedName name="soja_calcariocalcitico">Soja!$E$42</definedName>
    <definedName name="soja_calcariodolomitico">Soja!$E$43</definedName>
    <definedName name="soja_classetexturalsolo">Soja!$E$27</definedName>
    <definedName name="soja_consumodiesel">Soja!$E$77</definedName>
    <definedName name="soja_cultivosoloorganico">Soja!$E$33</definedName>
    <definedName name="soja_datacolheita">Soja!$E$26</definedName>
    <definedName name="soja_dataplantio">Soja!$E$25</definedName>
    <definedName name="soja_emissaoporarea">Soja!$E$83</definedName>
    <definedName name="soja_emissaoporproducao">Soja!$E$85</definedName>
    <definedName name="soja_emissaototal">Soja!$E$81</definedName>
    <definedName name="soja_estado">Soja!$E$18</definedName>
    <definedName name="soja_latitude">Soja!$E$19</definedName>
    <definedName name="soja_longitude">Soja!$E$20</definedName>
    <definedName name="soja_manejosolo">Soja!$E$30</definedName>
    <definedName name="soja_menucombustivelconsumido">Soja!$B$75:$E$77</definedName>
    <definedName name="soja_menuoperacoesmecanizadas">Soja!$B$66:$E$74</definedName>
    <definedName name="soja_nadubosintetico">Soja!$E$40</definedName>
    <definedName name="soja_operacaomecanizada_aplicacaofungicida">Soja!$D$72</definedName>
    <definedName name="soja_operacaomecanizada_aplicacaofungicida_repeticoes">Soja!$E$72</definedName>
    <definedName name="soja_operacaomecanizada_aplicacaoherbicidaposemergente">Soja!$D$74</definedName>
    <definedName name="soja_operacaomecanizada_aplicacaoherbicidaposemergente_repeticoes">Soja!$E$74</definedName>
    <definedName name="soja_operacaomecanizada_aplicacaoinseticida">Soja!$D$73</definedName>
    <definedName name="soja_operacaomecanizada_aplicacaoinseticida_repeticoes">Soja!$E$73</definedName>
    <definedName name="soja_operacaomecanizada_calagem">Soja!$D$68</definedName>
    <definedName name="soja_operacaomecanizada_calagem_repeticoes">Soja!$E$68</definedName>
    <definedName name="soja_operacaomecanizada_dessecacaopreemergente">Soja!$D$69</definedName>
    <definedName name="soja_operacaomecanizada_dessecacaopreemergente_repeticoes">Soja!$E$69</definedName>
    <definedName name="soja_operacaomecanizada_limpezaarearocadeira">Soja!$D$70</definedName>
    <definedName name="soja_operacaomecanizada_limpezaarearocadeira_repeticoes">Soja!$E$70</definedName>
    <definedName name="soja_operacaomecanizada_plantioadubacao">Soja!$D$71</definedName>
    <definedName name="soja_operacaomecanizada_plantioadubacao_repeticoes">Soja!$E$71</definedName>
    <definedName name="soja_produtividademedia">Soja!$E$35</definedName>
    <definedName name="soja_tempoadocaosistema">Soja!$E$31</definedName>
    <definedName name="soja_teorargilasolo">Soja!$E$28</definedName>
    <definedName name="soja_tipocombustivel">Soja!$E$64</definedName>
    <definedName name="soja_tipoconsumocombustivel">Soja!$E$65</definedName>
    <definedName name="soja_usoanteriorterra">Soja!$E$29</definedName>
    <definedName name="trigo_adubacaonitrogenadasintetica">Trigo!$E$39</definedName>
    <definedName name="trigo_adubacaoorganicacompostoorganico">Trigo!$E$46</definedName>
    <definedName name="trigo_adubacaoorganicaestercoavicola">Trigo!$E$48</definedName>
    <definedName name="trigo_adubacaoorganicaestercogeral">Trigo!$E$47</definedName>
    <definedName name="trigo_adubacaoorganicaoutros">Trigo!$E$49</definedName>
    <definedName name="trigo_adubacaoverdegraminea">Trigo!$E$53</definedName>
    <definedName name="trigo_adubacaoverdeleguminosa">Trigo!$E$52</definedName>
    <definedName name="trigo_adubacaoverdeoutros">Trigo!$E$54</definedName>
    <definedName name="trigo_aplicacaofungicida">Trigo!$E$60</definedName>
    <definedName name="trigo_aplicacaoherbicida">Trigo!$E$58</definedName>
    <definedName name="trigo_aplicacaoinseticida">Trigo!$E$59</definedName>
    <definedName name="trigo_aplicacaoureia">Trigo!$E$41</definedName>
    <definedName name="trigo_areacultivada">Trigo!$E$34</definedName>
    <definedName name="trigo_areaqueimaresiduos">Trigo!$E$32</definedName>
    <definedName name="trigo_bioma">Trigo!$E$21</definedName>
    <definedName name="trigo_calcariocalcitico">Trigo!$E$42</definedName>
    <definedName name="trigo_calcariodolomitico">Trigo!$E$43</definedName>
    <definedName name="trigo_classetexturalsolo">Trigo!$E$27</definedName>
    <definedName name="trigo_consumodiesel">Trigo!$E$75</definedName>
    <definedName name="trigo_cultivosoloorganico">Trigo!$E$33</definedName>
    <definedName name="trigo_datacolheita">Trigo!$E$26</definedName>
    <definedName name="trigo_dataplantio">Trigo!$E$25</definedName>
    <definedName name="trigo_estado">Trigo!$E$18</definedName>
    <definedName name="trigo_latitude">Trigo!$E$19</definedName>
    <definedName name="trigo_longitude">Trigo!$E$20</definedName>
    <definedName name="trigo_manejosolo">Trigo!$E$30</definedName>
    <definedName name="trigo_menucombustivelconsumido">Trigo!$B$73:$E$75</definedName>
    <definedName name="trigo_menuoperacoesmecanizadas">Trigo!$B$66:$E$72</definedName>
    <definedName name="trigo_nadubosintetico">Trigo!$E$40</definedName>
    <definedName name="trigo_operacaomecanizada_aplicacaofungicida">Trigo!$D$71</definedName>
    <definedName name="trigo_operacaomecanizada_aplicacaofungicida_repeticoes">Trigo!$E$71</definedName>
    <definedName name="trigo_operacaomecanizada_aplicacaoherbicida">Trigo!$D$69</definedName>
    <definedName name="trigo_operacaomecanizada_aplicacaoherbicida_repeticoes">Trigo!$E$69</definedName>
    <definedName name="trigo_operacaomecanizada_aplicacaoinseticida">Trigo!$D$70</definedName>
    <definedName name="trigo_operacaomecanizada_aplicacaoinseticida_repeticoes">Trigo!$E$70</definedName>
    <definedName name="trigo_operacaomecanizada_colheita">Trigo!$D$72</definedName>
    <definedName name="trigo_operacaomecanizada_colheita_repeticoes">Trigo!$E$72</definedName>
    <definedName name="trigo_operacaomecanizada_plantio">Trigo!$D$68</definedName>
    <definedName name="trigo_operacaomecanizada_plantio_repeticoes">Trigo!$E$68</definedName>
    <definedName name="trigo_produtividademedia">Trigo!$E$35</definedName>
    <definedName name="trigo_tempoadocaosistema">Trigo!$E$31</definedName>
    <definedName name="trigo_teorargilasolo">Trigo!$E$28</definedName>
    <definedName name="trigo_tipocombustivel">Trigo!$E$64</definedName>
    <definedName name="trigo_tipoconsumocombustivel">Trigo!$E$65</definedName>
    <definedName name="trigo_usoanteriorterra">Trigo!$E$29</definedName>
  </definedNames>
  <calcPr calcId="152511"/>
</workbook>
</file>

<file path=xl/calcChain.xml><?xml version="1.0" encoding="utf-8"?>
<calcChain xmlns="http://schemas.openxmlformats.org/spreadsheetml/2006/main">
  <c r="D19" i="73"/>
  <c r="H311" i="27" l="1"/>
  <c r="G311"/>
  <c r="F311"/>
  <c r="F314"/>
  <c r="I314" s="1"/>
  <c r="C21" l="1"/>
  <c r="C77"/>
  <c r="D77" s="1"/>
  <c r="C216"/>
  <c r="D216" s="1"/>
  <c r="C215"/>
  <c r="D215" s="1"/>
  <c r="C286"/>
  <c r="D286" s="1"/>
  <c r="C285"/>
  <c r="D285" s="1"/>
  <c r="C251"/>
  <c r="D251" s="1"/>
  <c r="C250"/>
  <c r="D250" s="1"/>
  <c r="C182"/>
  <c r="D182" s="1"/>
  <c r="C183"/>
  <c r="D183" s="1"/>
  <c r="C147"/>
  <c r="D147" s="1"/>
  <c r="C148"/>
  <c r="D148" s="1"/>
  <c r="C78"/>
  <c r="D78" s="1"/>
  <c r="C113"/>
  <c r="D113" s="1"/>
  <c r="C112"/>
  <c r="D112" s="1"/>
  <c r="D39" l="1"/>
  <c r="D41"/>
  <c r="H204"/>
  <c r="I204" s="1"/>
  <c r="F208"/>
  <c r="I208" s="1"/>
  <c r="F278"/>
  <c r="I278" s="1"/>
  <c r="F243"/>
  <c r="I243" s="1"/>
  <c r="F175"/>
  <c r="I175" s="1"/>
  <c r="F140"/>
  <c r="I140" s="1"/>
  <c r="F105"/>
  <c r="I105" s="1"/>
  <c r="F70"/>
  <c r="I70" s="1"/>
  <c r="D29" l="1"/>
  <c r="F67"/>
  <c r="H205"/>
  <c r="G205"/>
  <c r="F205"/>
  <c r="H275"/>
  <c r="G275"/>
  <c r="F275"/>
  <c r="H240"/>
  <c r="G240"/>
  <c r="F240"/>
  <c r="H172"/>
  <c r="G172"/>
  <c r="F172"/>
  <c r="H137"/>
  <c r="G137"/>
  <c r="F137"/>
  <c r="H102"/>
  <c r="G102"/>
  <c r="F102"/>
  <c r="H67"/>
  <c r="G67"/>
  <c r="I205" l="1"/>
  <c r="I137"/>
  <c r="I311"/>
  <c r="I275"/>
  <c r="I240"/>
  <c r="I172"/>
  <c r="I67"/>
  <c r="I102"/>
  <c r="G308"/>
  <c r="I308" l="1"/>
  <c r="H310"/>
  <c r="I310" s="1"/>
  <c r="H309"/>
  <c r="I309" s="1"/>
  <c r="Z3" i="29" l="1"/>
  <c r="B19" i="73" s="1"/>
  <c r="B9" i="71" l="1"/>
  <c r="G66" i="27"/>
  <c r="G101"/>
  <c r="G136"/>
  <c r="G171"/>
  <c r="G239"/>
  <c r="G274"/>
  <c r="G269"/>
  <c r="I269" s="1"/>
  <c r="G203"/>
  <c r="G271"/>
  <c r="I271" s="1"/>
  <c r="G270"/>
  <c r="I270" s="1"/>
  <c r="F313" l="1"/>
  <c r="J313" s="1"/>
  <c r="F312"/>
  <c r="I312" s="1"/>
  <c r="G307"/>
  <c r="F307"/>
  <c r="I307" s="1"/>
  <c r="G306"/>
  <c r="I306" s="1"/>
  <c r="G305"/>
  <c r="I305" s="1"/>
  <c r="G304"/>
  <c r="I304" s="1"/>
  <c r="G303"/>
  <c r="I303" s="1"/>
  <c r="F302"/>
  <c r="I302" s="1"/>
  <c r="G301"/>
  <c r="F301"/>
  <c r="O203" i="80"/>
  <c r="O204"/>
  <c r="O205"/>
  <c r="O206"/>
  <c r="O207"/>
  <c r="O208"/>
  <c r="O209"/>
  <c r="O210"/>
  <c r="O202"/>
  <c r="I301" i="27" l="1"/>
  <c r="I313"/>
  <c r="I315" l="1"/>
  <c r="C293"/>
  <c r="E293" s="1"/>
  <c r="F317"/>
  <c r="F315"/>
  <c r="F316" s="1"/>
  <c r="H315"/>
  <c r="H316" s="1"/>
  <c r="G315"/>
  <c r="G316" s="1"/>
  <c r="C294"/>
  <c r="E294" s="1"/>
  <c r="D293" l="1"/>
  <c r="D294"/>
  <c r="C292"/>
  <c r="E292" s="1"/>
  <c r="F21"/>
  <c r="I21" l="1"/>
  <c r="E9" i="71"/>
  <c r="H9" s="1"/>
  <c r="D292" i="27"/>
  <c r="F69"/>
  <c r="I69" l="1"/>
  <c r="C51" s="1"/>
  <c r="J69"/>
  <c r="J71" s="1"/>
  <c r="C52" s="1"/>
  <c r="G236"/>
  <c r="I236" s="1"/>
  <c r="G168"/>
  <c r="I168" s="1"/>
  <c r="G133"/>
  <c r="I133" s="1"/>
  <c r="G98"/>
  <c r="I98" s="1"/>
  <c r="G63"/>
  <c r="I63" s="1"/>
  <c r="G62"/>
  <c r="I62" s="1"/>
  <c r="G61"/>
  <c r="I61" s="1"/>
  <c r="AG157" i="80" l="1"/>
  <c r="AG156"/>
  <c r="AG155"/>
  <c r="AG154"/>
  <c r="AG153"/>
  <c r="AG152"/>
  <c r="AG151"/>
  <c r="AG150"/>
  <c r="AG149"/>
  <c r="AG148"/>
  <c r="AG147"/>
  <c r="AG146"/>
  <c r="AG145"/>
  <c r="AG144"/>
  <c r="AG143"/>
  <c r="AG142"/>
  <c r="AG141"/>
  <c r="AG140"/>
  <c r="AG139"/>
  <c r="AG138"/>
  <c r="AG137"/>
  <c r="AG136"/>
  <c r="AG135"/>
  <c r="AG134"/>
  <c r="AG133"/>
  <c r="AG132"/>
  <c r="AG131"/>
  <c r="AG130"/>
  <c r="AG129"/>
  <c r="AG128"/>
  <c r="AG127"/>
  <c r="AG126"/>
  <c r="AG125"/>
  <c r="AG124"/>
  <c r="AG123"/>
  <c r="AG122"/>
  <c r="G272" i="27"/>
  <c r="G273"/>
  <c r="I273" s="1"/>
  <c r="F277"/>
  <c r="J277" s="1"/>
  <c r="F276"/>
  <c r="F274"/>
  <c r="I274" s="1"/>
  <c r="H272"/>
  <c r="G268"/>
  <c r="I268" s="1"/>
  <c r="F267"/>
  <c r="I267" s="1"/>
  <c r="G266"/>
  <c r="F266"/>
  <c r="I277" l="1"/>
  <c r="C259" s="1"/>
  <c r="I266"/>
  <c r="I276"/>
  <c r="I272"/>
  <c r="H279"/>
  <c r="H280" s="1"/>
  <c r="F279"/>
  <c r="F280" s="1"/>
  <c r="G279"/>
  <c r="G280" s="1"/>
  <c r="F281"/>
  <c r="F207"/>
  <c r="J207" s="1"/>
  <c r="F206"/>
  <c r="I206" s="1"/>
  <c r="C190" s="1"/>
  <c r="F203"/>
  <c r="I203" s="1"/>
  <c r="G202"/>
  <c r="I202" s="1"/>
  <c r="H201"/>
  <c r="G201"/>
  <c r="I201" s="1"/>
  <c r="G200"/>
  <c r="I200" s="1"/>
  <c r="F199"/>
  <c r="I199" s="1"/>
  <c r="G198"/>
  <c r="F198"/>
  <c r="I198" s="1"/>
  <c r="I279" l="1"/>
  <c r="C258"/>
  <c r="E258" s="1"/>
  <c r="C189"/>
  <c r="C257"/>
  <c r="D257" s="1"/>
  <c r="I207"/>
  <c r="C191" s="1"/>
  <c r="E259"/>
  <c r="F211"/>
  <c r="F209"/>
  <c r="D258" l="1"/>
  <c r="I209"/>
  <c r="E257"/>
  <c r="D259"/>
  <c r="F210"/>
  <c r="F239" l="1"/>
  <c r="I239" s="1"/>
  <c r="F232"/>
  <c r="I232" s="1"/>
  <c r="F231"/>
  <c r="F171"/>
  <c r="I171" s="1"/>
  <c r="F164"/>
  <c r="I164" s="1"/>
  <c r="F163"/>
  <c r="F136"/>
  <c r="F129"/>
  <c r="I129" s="1"/>
  <c r="F128"/>
  <c r="F101"/>
  <c r="I101" s="1"/>
  <c r="F94"/>
  <c r="I94" s="1"/>
  <c r="F93"/>
  <c r="F66"/>
  <c r="F59"/>
  <c r="I59" s="1"/>
  <c r="F58"/>
  <c r="G235"/>
  <c r="I235" s="1"/>
  <c r="G234"/>
  <c r="I234" s="1"/>
  <c r="G167"/>
  <c r="I167" s="1"/>
  <c r="G166"/>
  <c r="I166" s="1"/>
  <c r="G132"/>
  <c r="I132" s="1"/>
  <c r="G131"/>
  <c r="I131" s="1"/>
  <c r="G97"/>
  <c r="I97" s="1"/>
  <c r="G96"/>
  <c r="I96" s="1"/>
  <c r="F242"/>
  <c r="J242" s="1"/>
  <c r="F241"/>
  <c r="I241" s="1"/>
  <c r="G238"/>
  <c r="I238" s="1"/>
  <c r="H237"/>
  <c r="G237"/>
  <c r="G233"/>
  <c r="I233" s="1"/>
  <c r="G231"/>
  <c r="F174"/>
  <c r="J174" s="1"/>
  <c r="F173"/>
  <c r="I173" s="1"/>
  <c r="G170"/>
  <c r="I170" s="1"/>
  <c r="H169"/>
  <c r="G169"/>
  <c r="G165"/>
  <c r="I165" s="1"/>
  <c r="G163"/>
  <c r="F139"/>
  <c r="J139" s="1"/>
  <c r="F138"/>
  <c r="I138" s="1"/>
  <c r="C120" s="1"/>
  <c r="G135"/>
  <c r="H134"/>
  <c r="G134"/>
  <c r="G130"/>
  <c r="I130" s="1"/>
  <c r="G128"/>
  <c r="F104"/>
  <c r="F103"/>
  <c r="I103" s="1"/>
  <c r="C85" s="1"/>
  <c r="G100"/>
  <c r="I100" s="1"/>
  <c r="H99"/>
  <c r="G99"/>
  <c r="G95"/>
  <c r="I95" s="1"/>
  <c r="G93"/>
  <c r="F68"/>
  <c r="G65"/>
  <c r="I65" s="1"/>
  <c r="H64"/>
  <c r="H71" s="1"/>
  <c r="G64"/>
  <c r="G60"/>
  <c r="I60" s="1"/>
  <c r="G58"/>
  <c r="J106" l="1"/>
  <c r="C87" s="1"/>
  <c r="J104"/>
  <c r="I66"/>
  <c r="F73"/>
  <c r="I136"/>
  <c r="C20"/>
  <c r="I135"/>
  <c r="D20"/>
  <c r="D23" s="1"/>
  <c r="I237"/>
  <c r="C22"/>
  <c r="G141"/>
  <c r="G142" s="1"/>
  <c r="I242"/>
  <c r="C224" s="1"/>
  <c r="I139"/>
  <c r="C121" s="1"/>
  <c r="I174"/>
  <c r="C156" s="1"/>
  <c r="I104"/>
  <c r="I134"/>
  <c r="I231"/>
  <c r="I163"/>
  <c r="I169"/>
  <c r="I128"/>
  <c r="I64"/>
  <c r="I58"/>
  <c r="I68"/>
  <c r="C50" s="1"/>
  <c r="F106"/>
  <c r="F107" s="1"/>
  <c r="I93"/>
  <c r="H106"/>
  <c r="H107" s="1"/>
  <c r="I99"/>
  <c r="E27" i="71"/>
  <c r="E29"/>
  <c r="F71" i="27"/>
  <c r="F72" s="1"/>
  <c r="E20"/>
  <c r="E23" s="1"/>
  <c r="G71"/>
  <c r="G72" s="1"/>
  <c r="C155"/>
  <c r="D190"/>
  <c r="E190"/>
  <c r="E17" i="71"/>
  <c r="C223" i="27"/>
  <c r="G209"/>
  <c r="H209"/>
  <c r="H176"/>
  <c r="H177" s="1"/>
  <c r="H244"/>
  <c r="H245" s="1"/>
  <c r="F246"/>
  <c r="G244"/>
  <c r="G245" s="1"/>
  <c r="F176"/>
  <c r="F177" s="1"/>
  <c r="G176"/>
  <c r="G177" s="1"/>
  <c r="F244"/>
  <c r="F245" s="1"/>
  <c r="F178"/>
  <c r="F143"/>
  <c r="H141"/>
  <c r="H142" s="1"/>
  <c r="F141"/>
  <c r="F142" s="1"/>
  <c r="G106"/>
  <c r="G107" s="1"/>
  <c r="F108"/>
  <c r="H72"/>
  <c r="C23" l="1"/>
  <c r="D27"/>
  <c r="F20"/>
  <c r="E8" i="71" s="1"/>
  <c r="I71" i="27"/>
  <c r="C49"/>
  <c r="D49" s="1"/>
  <c r="I176"/>
  <c r="C154"/>
  <c r="I106"/>
  <c r="C84"/>
  <c r="D84" s="1"/>
  <c r="C222"/>
  <c r="I244"/>
  <c r="C86"/>
  <c r="E86" s="1"/>
  <c r="C119"/>
  <c r="D119" s="1"/>
  <c r="I141"/>
  <c r="E191"/>
  <c r="B8" i="71"/>
  <c r="F22" i="27"/>
  <c r="B10" i="71"/>
  <c r="C8"/>
  <c r="H20" i="27"/>
  <c r="G8" i="71" s="1"/>
  <c r="G11" s="1"/>
  <c r="D8"/>
  <c r="D11" s="1"/>
  <c r="G20" i="27"/>
  <c r="G210"/>
  <c r="H210"/>
  <c r="E155"/>
  <c r="D155"/>
  <c r="D50"/>
  <c r="E50"/>
  <c r="E85"/>
  <c r="D85"/>
  <c r="E120"/>
  <c r="D120"/>
  <c r="E51"/>
  <c r="D51"/>
  <c r="E224"/>
  <c r="D224"/>
  <c r="E223"/>
  <c r="D223"/>
  <c r="E156"/>
  <c r="D156"/>
  <c r="E121"/>
  <c r="D121"/>
  <c r="D86" l="1"/>
  <c r="B11" i="71"/>
  <c r="I22" i="27"/>
  <c r="E10" i="71"/>
  <c r="H10" s="1"/>
  <c r="I20" i="27"/>
  <c r="E15" i="71"/>
  <c r="D191" i="27"/>
  <c r="E49"/>
  <c r="D222"/>
  <c r="E119"/>
  <c r="E84"/>
  <c r="E222"/>
  <c r="E154"/>
  <c r="D154"/>
  <c r="D189"/>
  <c r="E189"/>
  <c r="H23"/>
  <c r="G23"/>
  <c r="F8" i="71"/>
  <c r="F11" s="1"/>
  <c r="C11"/>
  <c r="F23" i="27"/>
  <c r="H8" i="71" l="1"/>
  <c r="I23" i="27"/>
  <c r="E11" i="71"/>
  <c r="H11" s="1"/>
  <c r="C58" l="1"/>
  <c r="C57"/>
  <c r="C56"/>
  <c r="C55"/>
  <c r="E52" i="27"/>
  <c r="C53" l="1"/>
  <c r="D52"/>
  <c r="E81" i="78" l="1"/>
  <c r="D53" i="27"/>
  <c r="E83" i="78" s="1"/>
  <c r="E53" i="27"/>
  <c r="E85" i="78" s="1"/>
  <c r="D87" i="27" l="1"/>
  <c r="C88"/>
  <c r="E87"/>
  <c r="E84" i="81" l="1"/>
  <c r="D88" i="27"/>
  <c r="E86" i="81" s="1"/>
  <c r="E88" i="27"/>
  <c r="E88" i="81" s="1"/>
  <c r="J141" i="27"/>
  <c r="C122" s="1"/>
  <c r="D122" l="1"/>
  <c r="C123"/>
  <c r="E122"/>
  <c r="D123" l="1"/>
  <c r="E82" i="82" s="1"/>
  <c r="E123" i="27"/>
  <c r="E84" i="82" s="1"/>
  <c r="E80"/>
  <c r="J176" i="27"/>
  <c r="C157" s="1"/>
  <c r="E157" l="1"/>
  <c r="D157"/>
  <c r="C158"/>
  <c r="E79" i="84" l="1"/>
  <c r="E158" i="27"/>
  <c r="E83" i="84" s="1"/>
  <c r="D158" i="27"/>
  <c r="E81" i="84" s="1"/>
  <c r="J244" i="27"/>
  <c r="C225" s="1"/>
  <c r="E225" l="1"/>
  <c r="D225"/>
  <c r="C226"/>
  <c r="E226" l="1"/>
  <c r="E88" i="83" s="1"/>
  <c r="D226" i="27"/>
  <c r="E86" i="83" s="1"/>
  <c r="E84"/>
  <c r="J279" i="27"/>
  <c r="C260" s="1"/>
  <c r="E260" l="1"/>
  <c r="C261"/>
  <c r="D260"/>
  <c r="J209"/>
  <c r="C192" s="1"/>
  <c r="E192" l="1"/>
  <c r="E261"/>
  <c r="E90" i="86" s="1"/>
  <c r="E86"/>
  <c r="D261" i="27"/>
  <c r="E88" i="86" s="1"/>
  <c r="C193" i="27"/>
  <c r="E83" i="85" s="1"/>
  <c r="D192" i="27"/>
  <c r="J315"/>
  <c r="C295" s="1"/>
  <c r="D31" l="1"/>
  <c r="E295"/>
  <c r="D193"/>
  <c r="E85" i="85" s="1"/>
  <c r="E193" i="27"/>
  <c r="E87" i="85" s="1"/>
  <c r="D295" i="27"/>
  <c r="C296"/>
  <c r="E296" s="1"/>
  <c r="D35" l="1"/>
  <c r="E23" i="71" s="1"/>
  <c r="E19"/>
  <c r="E99" i="87"/>
  <c r="E95"/>
  <c r="D296" i="27"/>
  <c r="E97" i="87" s="1"/>
</calcChain>
</file>

<file path=xl/connections.xml><?xml version="1.0" encoding="utf-8"?>
<connections xmlns="http://schemas.openxmlformats.org/spreadsheetml/2006/main">
  <connection id="1" name="Inventário de emissões - cargill_joão paulo_2014-2015" type="4" refreshedVersion="0" background="1">
    <webPr xml="1" sourceData="1" url="C:\Users\JoãoPaulo\Documents\Projetos\Protocolo GHG\Inventários salvos\Inventário de emissões - cargill_joão paulo_2014-2015.xml" htmlTables="1" htmlFormat="all"/>
  </connection>
  <connection id="2" name="Inventário de emissões - embrapa_joão paulo_2014-2015" type="4" refreshedVersion="0" background="1">
    <webPr xml="1" sourceData="1" url="C:\Users\JoãoPaulo\Documents\Projetos\Protocolo GHG\Inventários salvos\Inventário de emissões - embrapa_joão paulo_2014-2015.xml" htmlTables="1" htmlFormat="all"/>
  </connection>
</connections>
</file>

<file path=xl/sharedStrings.xml><?xml version="1.0" encoding="utf-8"?>
<sst xmlns="http://schemas.openxmlformats.org/spreadsheetml/2006/main" count="3227" uniqueCount="587">
  <si>
    <t>Endereço</t>
  </si>
  <si>
    <t>Nome da organização</t>
  </si>
  <si>
    <t>Nome do responsável</t>
  </si>
  <si>
    <t>Tempo de adoção</t>
  </si>
  <si>
    <t>Uso anterior</t>
  </si>
  <si>
    <t>Cultura</t>
  </si>
  <si>
    <t>Calagem</t>
  </si>
  <si>
    <t>Geral</t>
  </si>
  <si>
    <t>Bioma</t>
  </si>
  <si>
    <t>Teor de argila no solo</t>
  </si>
  <si>
    <t>Caatinga</t>
  </si>
  <si>
    <t>Cerrado</t>
  </si>
  <si>
    <t>Mata Atlântica</t>
  </si>
  <si>
    <t>Pampa</t>
  </si>
  <si>
    <t>Soja</t>
  </si>
  <si>
    <t>Trigo</t>
  </si>
  <si>
    <t>Feijão</t>
  </si>
  <si>
    <t>Algodão</t>
  </si>
  <si>
    <t>Maior que 60%</t>
  </si>
  <si>
    <t>Menor que 60%</t>
  </si>
  <si>
    <t>Vegetação nativa</t>
  </si>
  <si>
    <t>Plantio direto</t>
  </si>
  <si>
    <t>Cultivo convencional</t>
  </si>
  <si>
    <t>Pastagem</t>
  </si>
  <si>
    <t>Arroz</t>
  </si>
  <si>
    <t>Pastagem e pecuária</t>
  </si>
  <si>
    <t>Tipo de animais</t>
  </si>
  <si>
    <t>Realiza manejo de dejetos? Tipo</t>
  </si>
  <si>
    <t>Bubalinos</t>
  </si>
  <si>
    <t>Sim</t>
  </si>
  <si>
    <t>Não</t>
  </si>
  <si>
    <t>Continuamente inundado</t>
  </si>
  <si>
    <t>Inundação intermitente com aeração única</t>
  </si>
  <si>
    <t>Inundação intermitente com aerações múltiplas</t>
  </si>
  <si>
    <t>Várzea úmida</t>
  </si>
  <si>
    <t>Águas profundas entre 50 e 100 cm</t>
  </si>
  <si>
    <t>Águas profundas maiores que 100 cm</t>
  </si>
  <si>
    <t>Suínos</t>
  </si>
  <si>
    <t>Armazenamento sólido</t>
  </si>
  <si>
    <t>Dry lot</t>
  </si>
  <si>
    <t>Esterqueira</t>
  </si>
  <si>
    <t>Lagoa anaeróbica</t>
  </si>
  <si>
    <t>Poços abaixo do confinamento de animais</t>
  </si>
  <si>
    <t>Biodigestor</t>
  </si>
  <si>
    <t>Outros</t>
  </si>
  <si>
    <t>Contato</t>
  </si>
  <si>
    <t>Estado</t>
  </si>
  <si>
    <t>Tempo de adoção do sistema</t>
  </si>
  <si>
    <t>Uso anterior da terra</t>
  </si>
  <si>
    <t>Fertilizante nitrogenado sintético</t>
  </si>
  <si>
    <t>Adubação orgânica</t>
  </si>
  <si>
    <t>Mudança de uso do solo</t>
  </si>
  <si>
    <t>Total</t>
  </si>
  <si>
    <t>Pecuária e pastagem</t>
  </si>
  <si>
    <t>Cana-de-açúcar</t>
  </si>
  <si>
    <t>Número de animais</t>
  </si>
  <si>
    <t>Milho</t>
  </si>
  <si>
    <t>Vinhaça</t>
  </si>
  <si>
    <t>Fonte</t>
  </si>
  <si>
    <t>Torta de filtro</t>
  </si>
  <si>
    <t>Composto orgânico</t>
  </si>
  <si>
    <t>Uso atual</t>
  </si>
  <si>
    <t>Cana com queimada</t>
  </si>
  <si>
    <t>Integração lavoura-pecuária</t>
  </si>
  <si>
    <t>Demais regiões</t>
  </si>
  <si>
    <t>Região sul</t>
  </si>
  <si>
    <t>Baixo teor de argila</t>
  </si>
  <si>
    <t>Alto teor de argila</t>
  </si>
  <si>
    <t>Pastagem degradada</t>
  </si>
  <si>
    <t>Pastagem nominal</t>
  </si>
  <si>
    <t>Pastagem melhorada</t>
  </si>
  <si>
    <t>Leguminosa</t>
  </si>
  <si>
    <t>Gramínea</t>
  </si>
  <si>
    <t>Integração lavoura-pecuária-floresta</t>
  </si>
  <si>
    <t>Animais em pastagem</t>
  </si>
  <si>
    <t>Valor</t>
  </si>
  <si>
    <t>Animal</t>
  </si>
  <si>
    <t>Equinos</t>
  </si>
  <si>
    <t>Asininos</t>
  </si>
  <si>
    <t>Muares</t>
  </si>
  <si>
    <t>Poedeiras</t>
  </si>
  <si>
    <t>Galos</t>
  </si>
  <si>
    <t>Frangos/pintos</t>
  </si>
  <si>
    <t>Codornas</t>
  </si>
  <si>
    <t>Mais que 15</t>
  </si>
  <si>
    <t>Várzea seca</t>
  </si>
  <si>
    <t>Sexo</t>
  </si>
  <si>
    <t>Macho</t>
  </si>
  <si>
    <t>Fêmea</t>
  </si>
  <si>
    <t>Caprinos</t>
  </si>
  <si>
    <t>Ovinos</t>
  </si>
  <si>
    <t>Aves</t>
  </si>
  <si>
    <t>Gado de corte</t>
  </si>
  <si>
    <t>Operações mecanizadas</t>
  </si>
  <si>
    <t>Operação</t>
  </si>
  <si>
    <t>Dessecação pré-emergente</t>
  </si>
  <si>
    <t>Aplicação de herbicida pós-emergente</t>
  </si>
  <si>
    <t>Aplicação de inseticida</t>
  </si>
  <si>
    <t>Aplicação de fungicida</t>
  </si>
  <si>
    <t>Aplicação de defensivos agrícolas</t>
  </si>
  <si>
    <t>Herbicida</t>
  </si>
  <si>
    <t>Fungicida</t>
  </si>
  <si>
    <t>Inseticida</t>
  </si>
  <si>
    <t>Classe textural</t>
  </si>
  <si>
    <t>Classe textural do solo</t>
  </si>
  <si>
    <t>Escopo 1</t>
  </si>
  <si>
    <t>Fontes mecânicas</t>
  </si>
  <si>
    <t>GEE</t>
  </si>
  <si>
    <t>Emissões em toneladas métricas</t>
  </si>
  <si>
    <t>CO</t>
  </si>
  <si>
    <t>Cana</t>
  </si>
  <si>
    <t>Gradagem aradora</t>
  </si>
  <si>
    <t>Gradagem niveladora</t>
  </si>
  <si>
    <t>Reforma de taipas</t>
  </si>
  <si>
    <t>Plantio</t>
  </si>
  <si>
    <t>Transporte interno</t>
  </si>
  <si>
    <t>Aplicação de herbicida pré-emergente</t>
  </si>
  <si>
    <t>Transporte interno de insumos para plantio</t>
  </si>
  <si>
    <t>Adubação de cobertura</t>
  </si>
  <si>
    <t>Trilha com batedeira de cereais</t>
  </si>
  <si>
    <t>Transporte interno da produção</t>
  </si>
  <si>
    <t>Aplicação inseticida</t>
  </si>
  <si>
    <t>Aplicação herbicida</t>
  </si>
  <si>
    <t>Aplicação fungicida</t>
  </si>
  <si>
    <t>Dessecação</t>
  </si>
  <si>
    <t>Gradagem</t>
  </si>
  <si>
    <t>Terraceamento</t>
  </si>
  <si>
    <t>Aração</t>
  </si>
  <si>
    <t>Sulcação</t>
  </si>
  <si>
    <t>Cobrição</t>
  </si>
  <si>
    <t>Pulverização</t>
  </si>
  <si>
    <t>Plantio com adubação</t>
  </si>
  <si>
    <t>Daniel Silveira Pinto Nassif</t>
  </si>
  <si>
    <t>Eduardo Delgado Assad</t>
  </si>
  <si>
    <t>Eduardo de Morais Pavão</t>
  </si>
  <si>
    <t>Hilton Silveira Pinto</t>
  </si>
  <si>
    <t>João Paulo da Silva</t>
  </si>
  <si>
    <t>Juliano Daniel Groppo</t>
  </si>
  <si>
    <t>Stephen Russel</t>
  </si>
  <si>
    <t>Rachel Biderman</t>
  </si>
  <si>
    <t>Roberto Strumpf</t>
  </si>
  <si>
    <t>Stoécio Malta Ferreira Maia</t>
  </si>
  <si>
    <t>Susian Christian Martins</t>
  </si>
  <si>
    <t>Arenoso</t>
  </si>
  <si>
    <t>Argiloso</t>
  </si>
  <si>
    <t>Organização</t>
  </si>
  <si>
    <t>Responsável</t>
  </si>
  <si>
    <t>Médio</t>
  </si>
  <si>
    <t>Data de plantio</t>
  </si>
  <si>
    <t>Data de colheita</t>
  </si>
  <si>
    <t>Escopo 2</t>
  </si>
  <si>
    <t>Escopo 3</t>
  </si>
  <si>
    <t>Aplicação de defensivos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</si>
  <si>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</si>
  <si>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</si>
  <si>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</si>
  <si>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</si>
  <si>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</si>
  <si>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</si>
  <si>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</si>
  <si>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</si>
  <si>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</si>
  <si>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</si>
  <si>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</si>
  <si>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</si>
  <si>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</si>
  <si>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Consumo de energia elétrica</t>
  </si>
  <si>
    <t>Escopo</t>
  </si>
  <si>
    <t>Fontes não-mecânicas</t>
  </si>
  <si>
    <t>Emissões líquidas</t>
  </si>
  <si>
    <t>Carbono biogênico de uso do solo</t>
  </si>
  <si>
    <t>Sequestro de carbono</t>
  </si>
  <si>
    <t xml:space="preserve">Carbono biogênico de uso de biocombustíveis </t>
  </si>
  <si>
    <t>Emissões biogênicas</t>
  </si>
  <si>
    <t>Amazônia</t>
  </si>
  <si>
    <t>Ciclo</t>
  </si>
  <si>
    <t>Quantificação de diesel</t>
  </si>
  <si>
    <t>Quantidade consumida</t>
  </si>
  <si>
    <t>Plantio e adubação</t>
  </si>
  <si>
    <t>Preparo de solo</t>
  </si>
  <si>
    <t>Aplicação de herbicida</t>
  </si>
  <si>
    <t>O GHG Protocol Agrícola</t>
  </si>
  <si>
    <t>O World Resources Institute (WRI) tem criado, em parceria com o World Business Council for Sustainable Development (WBCSD), protocolos internacionalmente aceitos para o desenvolvimento de inventários corporativos de gases de efeito estufa (GEE) há mais de 13 anos. Esses padrões, denominados genericamente de GHG Protocol, definem as melhores práticas internacionalmente aceitas para o desenvolvimento de inventários de GEE corporativos, de projetos ou de produtos. Para mais detalhes acesse: http://www.ghgprotocol.org/</t>
  </si>
  <si>
    <t>Combinados, estes recursos auxiliam os produtores, assim como outros atores das cadeias de valor do setor, a:</t>
  </si>
  <si>
    <t xml:space="preserve"> - Incluir o reporte e a mitigação de emissões de GEE não mecânicas em suas estratégias de produção e planejamento anual;</t>
  </si>
  <si>
    <t xml:space="preserve"> - Identificar oportunidades de redução destas emissões de GEE;</t>
  </si>
  <si>
    <t xml:space="preserve"> - Rastrear progresso em direção de metas de redução;</t>
  </si>
  <si>
    <t xml:space="preserve"> - Comunicar os resultados aos investidores e aos consumidores finais; e</t>
  </si>
  <si>
    <t xml:space="preserve"> - Responder às demandas nacionais e internacionais por produtos menos intensivos em carbono.</t>
  </si>
  <si>
    <t>A Ferramenta de Cálculo</t>
  </si>
  <si>
    <t>A Ferramenta de Cálculo do GHG Protocol Agrícola (referenciada também como “Ferramenta de Cálculo GHGPAg” ou apenas “Ferramenta”) é um produto proveniente de uma parceria entre WRI, Embrapa (Empresa Brasileira de Pesquisa Agropecuária) e Unicamp (Universidade Estadual de Campinas), que permite a contabilização das emissões de GEE utilizando metodologias específicas para a realidade nacional e focadas em fontes de emissão não mecânicas. A ferramenta é dividida em tipos de atividades agrícolas (soja, milho, algodão, trigo, feijão, arroz, cana-de-açúcar, pecuária e pastagem), sendo que as fontes de emissão consideradas pela Ferramenta em cada uma delas são:</t>
  </si>
  <si>
    <t xml:space="preserve"> - Adubação orgânica</t>
  </si>
  <si>
    <t xml:space="preserve"> - Aplicação de calcário</t>
  </si>
  <si>
    <t xml:space="preserve"> - Aplicação de defensivos agrícolas</t>
  </si>
  <si>
    <t xml:space="preserve"> - Aplicação de fertilizante nitrogenado sintético</t>
  </si>
  <si>
    <t xml:space="preserve"> - Aplicação de ureia</t>
  </si>
  <si>
    <t xml:space="preserve"> - Consumo de energia elétrica</t>
  </si>
  <si>
    <t xml:space="preserve"> - Cultivo de arroz</t>
  </si>
  <si>
    <t xml:space="preserve"> - Dejetos de animais em pastagens</t>
  </si>
  <si>
    <t xml:space="preserve"> - Fermentação entérica</t>
  </si>
  <si>
    <t xml:space="preserve"> - Fontes secundárias (deposição atmosférica e lixiviação ou escoamento superficial)</t>
  </si>
  <si>
    <t xml:space="preserve"> - Manejo de dejetos</t>
  </si>
  <si>
    <t xml:space="preserve"> - Manejo de dejetos de animais (exceto animais em pastagens)</t>
  </si>
  <si>
    <t xml:space="preserve"> - Mudança de uso do solo</t>
  </si>
  <si>
    <t xml:space="preserve"> - Operações mecanizadas</t>
  </si>
  <si>
    <t xml:space="preserve"> - Queima de resíduos vegetais</t>
  </si>
  <si>
    <t xml:space="preserve"> - Resíduos das culturas </t>
  </si>
  <si>
    <t>A alocação de emissões realizada pela Ferramenta de Cálculo GHGPAg considera o produtor como seu público-alvo. Nos casos em que outros atores de cadeias agrícolas como, por exemplo, compradores, processadores, varejistas e consumidores finais, utilizarem os resultados fornecidos pela Ferramenta, é necessário um processo de realocação das emissões no escopo pertinente (ver item abaixo para mais detalhes sobre o reporte das emissões nos escopos do GHG Protocol).</t>
  </si>
  <si>
    <t>É imprescindível que a Ferramenta de Cálculo GHGPAg e as Diretrizes Agrícolas Brasileiras sejam utilizadas em conjunto para a elaboração de um inventário de GEE agrícola, garantindo a consistência dos resultados de emissões de GEE com as diretrizes propostas pelo Projeto GHG Protocol Agrícola.</t>
  </si>
  <si>
    <t>Reporte das emissões</t>
  </si>
  <si>
    <t>Segundo as diretrizes do GHG Protocol, o reporte das emissões de GEE são classificados de acordo com o grau de responsabilidade ou controle da organização inventariante perante a fonte das emissões – fontes diretas (fontes que pertencem ou são controladas pela organização inventariante) e fontes indiretas (fontes que pertencem ou são controladas por outra organização, mas são resultantes das atividades da organização inventariante). Este grau de responsabilidade é representado pelos Escopos 1, 2 e 3, cuja definição segue abaixo. Para facilitar a interpretação e evitar equívocos os escopos são marcados por diferentes cores na Ferramenta, conforme os quadros abaixo (Escopo1 = azul; Escopo 2 = laranja; Escopo 3 = amarelo e Emissões Biogênicas = verde):</t>
  </si>
  <si>
    <t xml:space="preserve">Além das emissões reportadas dentro dos Escopos, também são reportadas emissões biogênicas, sequestros de carbono, emissões líquidas e outros gases, conforme descritas abaixo: </t>
  </si>
  <si>
    <t>A matéria seca é fermentada?</t>
  </si>
  <si>
    <t>Upstream</t>
  </si>
  <si>
    <t>Sistema de cultivo atual</t>
  </si>
  <si>
    <r>
      <t>CO</t>
    </r>
    <r>
      <rPr>
        <vertAlign val="subscript"/>
        <sz val="10"/>
        <color theme="1"/>
        <rFont val="Arial"/>
        <family val="2"/>
      </rPr>
      <t>2</t>
    </r>
  </si>
  <si>
    <r>
      <t>CH</t>
    </r>
    <r>
      <rPr>
        <vertAlign val="subscript"/>
        <sz val="10"/>
        <color theme="1"/>
        <rFont val="Arial"/>
        <family val="2"/>
      </rPr>
      <t>4</t>
    </r>
  </si>
  <si>
    <r>
      <t>N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O</t>
    </r>
  </si>
  <si>
    <t>Local</t>
  </si>
  <si>
    <t>Maior que 20 anos</t>
  </si>
  <si>
    <t>Menor ou igual a 20 anos</t>
  </si>
  <si>
    <t>Aplicação de ureia</t>
  </si>
  <si>
    <t>Unidade</t>
  </si>
  <si>
    <t>graus</t>
  </si>
  <si>
    <t>%</t>
  </si>
  <si>
    <t>-</t>
  </si>
  <si>
    <t>hectare</t>
  </si>
  <si>
    <t>tonelada/hectare</t>
  </si>
  <si>
    <t>Área cultivada</t>
  </si>
  <si>
    <t>Produtividade média</t>
  </si>
  <si>
    <t>Latitude</t>
  </si>
  <si>
    <t>Longitude</t>
  </si>
  <si>
    <t>Detalhes</t>
  </si>
  <si>
    <t>tonelada</t>
  </si>
  <si>
    <t>Adubação nitrogenada</t>
  </si>
  <si>
    <t>Aplicação de calcário calcítico</t>
  </si>
  <si>
    <t>Aplicação de calcário dolomítico</t>
  </si>
  <si>
    <t>kg</t>
  </si>
  <si>
    <t>Adubação verde</t>
  </si>
  <si>
    <t>Inseticidas</t>
  </si>
  <si>
    <t>Fungicidas</t>
  </si>
  <si>
    <t>Herbicidas</t>
  </si>
  <si>
    <t>Área de queima de resíduos da cultura</t>
  </si>
  <si>
    <t>Exceto ureia</t>
  </si>
  <si>
    <t>litro</t>
  </si>
  <si>
    <t>Limpeza da área com roçadeira</t>
  </si>
  <si>
    <t>Tipo de quantificação de consumo</t>
  </si>
  <si>
    <t>Tabela 1. Informações sobre a propriedade agrícola</t>
  </si>
  <si>
    <t>Tabela 3. Práticas de adubação</t>
  </si>
  <si>
    <t>Tabela 4. Aplicação de defensivos agrícolas</t>
  </si>
  <si>
    <t>Executa a operação?</t>
  </si>
  <si>
    <t>Combustível consumido</t>
  </si>
  <si>
    <t>Adubação sintética</t>
  </si>
  <si>
    <r>
      <t>NO</t>
    </r>
    <r>
      <rPr>
        <vertAlign val="subscript"/>
        <sz val="10"/>
        <color theme="1"/>
        <rFont val="Arial"/>
        <family val="2"/>
      </rPr>
      <t>X</t>
    </r>
  </si>
  <si>
    <t>Síntese das emissões</t>
  </si>
  <si>
    <t>Aplicação de uréia</t>
  </si>
  <si>
    <t>Emissões secundárias</t>
  </si>
  <si>
    <t>Menejo de solos orgânicos</t>
  </si>
  <si>
    <t>Lixiviação/Runoff</t>
  </si>
  <si>
    <t>Fonte de emissão</t>
  </si>
  <si>
    <t>Emissões
biogênicas</t>
  </si>
  <si>
    <t>Acre</t>
  </si>
  <si>
    <t>Alagoas</t>
  </si>
  <si>
    <t>Amazonas</t>
  </si>
  <si>
    <t>Amapá</t>
  </si>
  <si>
    <t>Bahia</t>
  </si>
  <si>
    <t>Ceará</t>
  </si>
  <si>
    <t>Distrito Federal</t>
  </si>
  <si>
    <t>Espírito Santo</t>
  </si>
  <si>
    <t>Goiás</t>
  </si>
  <si>
    <t>Maranhão</t>
  </si>
  <si>
    <t>Minas Gerais</t>
  </si>
  <si>
    <t>Mato Grosso do Sul</t>
  </si>
  <si>
    <t>Pará</t>
  </si>
  <si>
    <t>Paraíba</t>
  </si>
  <si>
    <t>Pernambuco</t>
  </si>
  <si>
    <t>Piauí</t>
  </si>
  <si>
    <t>Paraná</t>
  </si>
  <si>
    <t>Rio de Janeiro</t>
  </si>
  <si>
    <t>Rio Grande do Norte</t>
  </si>
  <si>
    <t>Rondônia</t>
  </si>
  <si>
    <t>Roraima</t>
  </si>
  <si>
    <t>Rio Grande do Sul</t>
  </si>
  <si>
    <t>Santa Catarina</t>
  </si>
  <si>
    <t>Sergipe</t>
  </si>
  <si>
    <t>São Paulo</t>
  </si>
  <si>
    <t>Tocantins</t>
  </si>
  <si>
    <t>Fatores de emissão</t>
  </si>
  <si>
    <t>Fertilizante sintético</t>
  </si>
  <si>
    <t>Exceto uréia</t>
  </si>
  <si>
    <t>Ureia</t>
  </si>
  <si>
    <t>IPCC, 2006</t>
  </si>
  <si>
    <t>Coeficiente composto</t>
  </si>
  <si>
    <t>Esterco</t>
  </si>
  <si>
    <t>Calcítico</t>
  </si>
  <si>
    <t>Dolomítico</t>
  </si>
  <si>
    <t>Calcário</t>
  </si>
  <si>
    <t>Adubo orgânico geral</t>
  </si>
  <si>
    <t>PAREDES et al., 2014</t>
  </si>
  <si>
    <t>Menor que 1 ano</t>
  </si>
  <si>
    <t>Maior que 1 ano</t>
  </si>
  <si>
    <t>De 1 a 2 anos</t>
  </si>
  <si>
    <t>Maior que 2 anos</t>
  </si>
  <si>
    <t>Até 0,5 ano</t>
  </si>
  <si>
    <t>Maior que 0,5 ano</t>
  </si>
  <si>
    <t>Grupo 1 de manejo</t>
  </si>
  <si>
    <t>Grupo 2 de manejo</t>
  </si>
  <si>
    <t>Grupo 3 de manejo</t>
  </si>
  <si>
    <t>Grupo 4 de manejo</t>
  </si>
  <si>
    <t>Galinhas de corte</t>
  </si>
  <si>
    <t>Espiríto Santo</t>
  </si>
  <si>
    <t>Mato Grosso</t>
  </si>
  <si>
    <t>Pequenas propriedades</t>
  </si>
  <si>
    <t>Grandes propriedades</t>
  </si>
  <si>
    <t>Jovens</t>
  </si>
  <si>
    <t>Gado leiteiro</t>
  </si>
  <si>
    <t>Avícola</t>
  </si>
  <si>
    <r>
      <t>CO</t>
    </r>
    <r>
      <rPr>
        <vertAlign val="subscript"/>
        <sz val="10"/>
        <color theme="1"/>
        <rFont val="Arial"/>
        <family val="2"/>
      </rPr>
      <t>2 eq</t>
    </r>
    <r>
      <rPr>
        <sz val="10"/>
        <color theme="1"/>
        <rFont val="Arial"/>
        <family val="2"/>
      </rPr>
      <t xml:space="preserve"> (tonelada)</t>
    </r>
  </si>
  <si>
    <t>1. Sequeiro (ou Terra Firme)</t>
  </si>
  <si>
    <t>2.1.1. Continuamente inundado</t>
  </si>
  <si>
    <t>2.1.2.1. Aeração Única</t>
  </si>
  <si>
    <t>2.1.2.2. Múltiplas aerações</t>
  </si>
  <si>
    <t>2.2.1. Várzea úmida</t>
  </si>
  <si>
    <t>2.2.2. Várzea seca</t>
  </si>
  <si>
    <t>2.3.1. Profundidade entre 50 e 100 cm</t>
  </si>
  <si>
    <t>2.3.2. Profundidades maiores que 100 cm</t>
  </si>
  <si>
    <t>2. Terras Baixas</t>
  </si>
  <si>
    <t>2.1. Irrigado</t>
  </si>
  <si>
    <t>2.1.2. Intermitentemente inundado</t>
  </si>
  <si>
    <t>2.2. Alimentado por Chuva</t>
  </si>
  <si>
    <t>2.3. Água profunda</t>
  </si>
  <si>
    <t>De 8 a 15</t>
  </si>
  <si>
    <t>De 4 a 8</t>
  </si>
  <si>
    <t>De 2 a 4</t>
  </si>
  <si>
    <t>De 1 a 2</t>
  </si>
  <si>
    <t>Sem aplicação</t>
  </si>
  <si>
    <t xml:space="preserve">Matéria seca aplicada (tonelada/hectare) </t>
  </si>
  <si>
    <t>Adimensional</t>
  </si>
  <si>
    <t>Bovino, equino, suino, ovino</t>
  </si>
  <si>
    <t>Brasil</t>
  </si>
  <si>
    <t>Exceto Rio Grande do Sul</t>
  </si>
  <si>
    <t>tonelada/litro</t>
  </si>
  <si>
    <t>Referências</t>
  </si>
  <si>
    <t>Cultivo de solos orgânicos</t>
  </si>
  <si>
    <t>Solos tropicais e sub tropicais</t>
  </si>
  <si>
    <t>Perda de nitrogênio</t>
  </si>
  <si>
    <t>Cana sem queima</t>
  </si>
  <si>
    <t>Cana com queima</t>
  </si>
  <si>
    <t>Biodiesel</t>
  </si>
  <si>
    <t>Preparo convencional (Outono/Inverno)</t>
  </si>
  <si>
    <t>Fatores de emissão (GEE)</t>
  </si>
  <si>
    <t>Fatores de emissão por grupo de manejo</t>
  </si>
  <si>
    <t>Fatores de emissão por tipo de animal</t>
  </si>
  <si>
    <t>Fatores de emissão por mês e ano de referência</t>
  </si>
  <si>
    <t>Formulário de emissões - Soja</t>
  </si>
  <si>
    <t>RR, 2010</t>
  </si>
  <si>
    <t>IPCC, 1996; IPCC, 2006; RR, 2010</t>
  </si>
  <si>
    <t>RR, 2010; RR, 2014</t>
  </si>
  <si>
    <t>IPCC, 2006; RR, 2010</t>
  </si>
  <si>
    <t>KIEHL, 1965</t>
  </si>
  <si>
    <t>Área de manejo de solos orgânicos</t>
  </si>
  <si>
    <t>Tabela 2. Sistema de cultivo</t>
  </si>
  <si>
    <t>Decomposição de resíduos</t>
  </si>
  <si>
    <t>Queima de resíduos</t>
  </si>
  <si>
    <t>Teor de nitrogênio no adubo sintético</t>
  </si>
  <si>
    <t>Teor de nitrogênio</t>
  </si>
  <si>
    <t>KIEHL, 1985; LOPES, 1989</t>
  </si>
  <si>
    <t>ECOINVENT DATABASE</t>
  </si>
  <si>
    <t>MAIA et al., 2013</t>
  </si>
  <si>
    <t>MAIA et al., 2009</t>
  </si>
  <si>
    <t>Adaptado de MAIA et al., 2009</t>
  </si>
  <si>
    <t>GALDOS et al., 2011</t>
  </si>
  <si>
    <t>MELLO et al., 2014</t>
  </si>
  <si>
    <t>BAYER et al., 2006</t>
  </si>
  <si>
    <t>Bovino, equino, suino ou ovino</t>
  </si>
  <si>
    <t>Hora-máquina</t>
  </si>
  <si>
    <t>hora-máquina/hectare</t>
  </si>
  <si>
    <t>Preparo do solo</t>
  </si>
  <si>
    <t>Limpeza de área com roçadeira</t>
  </si>
  <si>
    <t>Colheita</t>
  </si>
  <si>
    <t>Transporte interno para plantio</t>
  </si>
  <si>
    <t>Transporte interno para colheita</t>
  </si>
  <si>
    <t>Resumo das emissões</t>
  </si>
  <si>
    <r>
      <t>2. Emissões biogênicas (tonelada de 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equivalente)</t>
    </r>
  </si>
  <si>
    <t>IPCC, 2006; DEFRA 2009/2010</t>
  </si>
  <si>
    <r>
      <t>Por área cultivada
(tonelada CO</t>
    </r>
    <r>
      <rPr>
        <vertAlign val="subscript"/>
        <sz val="10"/>
        <color theme="1"/>
        <rFont val="Arial"/>
        <family val="2"/>
      </rPr>
      <t>2 eq</t>
    </r>
    <r>
      <rPr>
        <sz val="10"/>
        <color theme="1"/>
        <rFont val="Arial"/>
        <family val="2"/>
      </rPr>
      <t>/hectare)</t>
    </r>
  </si>
  <si>
    <r>
      <t>Total
(tonelada de CO</t>
    </r>
    <r>
      <rPr>
        <vertAlign val="subscript"/>
        <sz val="10"/>
        <color theme="1"/>
        <rFont val="Arial"/>
        <family val="2"/>
      </rPr>
      <t>2 eq</t>
    </r>
    <r>
      <rPr>
        <sz val="10"/>
        <color theme="1"/>
        <rFont val="Arial"/>
        <family val="2"/>
      </rPr>
      <t>)</t>
    </r>
  </si>
  <si>
    <r>
      <t>Emissões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 xml:space="preserve"> por área (tonelada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>/hectare)</t>
    </r>
  </si>
  <si>
    <r>
      <t>Emissões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 xml:space="preserve"> (tonelada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>)</t>
    </r>
  </si>
  <si>
    <t>Formulário de emissões - Milho</t>
  </si>
  <si>
    <t>Formulário de emissões - Algodão</t>
  </si>
  <si>
    <t>Formulário de emissões - Feijão</t>
  </si>
  <si>
    <t>Trasporte interno da produção</t>
  </si>
  <si>
    <t>Formulário de emissões - Trigo</t>
  </si>
  <si>
    <t>Regime hídrico</t>
  </si>
  <si>
    <t>Para lavouras em terras baixas</t>
  </si>
  <si>
    <t>Aplicação de matéria seca</t>
  </si>
  <si>
    <t>A lavoura não está em terras baixas</t>
  </si>
  <si>
    <t>IPCC, 2006; DEFRA GHG, 2009/2010</t>
  </si>
  <si>
    <t>Quantidade de matéria seca aplicada</t>
  </si>
  <si>
    <t>Fator de emissão (Fec)</t>
  </si>
  <si>
    <t>Fator de emissão</t>
  </si>
  <si>
    <t>Fatores de incremento de matéria orgânica (Sfo)</t>
  </si>
  <si>
    <t>Fatores de ecossistemas (SFw)</t>
  </si>
  <si>
    <t>Preparo antecipado (Primavera)</t>
  </si>
  <si>
    <t>Matéria seca não fermentada</t>
  </si>
  <si>
    <t>Formulário de emissões - Arroz</t>
  </si>
  <si>
    <t>Área de aplicação da torta de filtro</t>
  </si>
  <si>
    <t>12 meses</t>
  </si>
  <si>
    <t>18 meses</t>
  </si>
  <si>
    <t>Formulário de emissões - Cana-de-açúcar</t>
  </si>
  <si>
    <t>Formulário de emissões - Pecuária e pastagem</t>
  </si>
  <si>
    <t>Tabela 4. Aplicação de defensivos agrícolas nas pastagem</t>
  </si>
  <si>
    <t>Tabela 3. Práticas de adubação da pastagem</t>
  </si>
  <si>
    <t>Tabela 2. Sistema de cultivo da pastagem</t>
  </si>
  <si>
    <t>Tabela 5. Consumo de combustível das operações mecanizadas</t>
  </si>
  <si>
    <t>Sistema de manejo de dejetos</t>
  </si>
  <si>
    <t>Data de entrada</t>
  </si>
  <si>
    <t>Data de saída</t>
  </si>
  <si>
    <t>Sistema atual de manejo</t>
  </si>
  <si>
    <t>Uso atual da terra</t>
  </si>
  <si>
    <t>Sim/Não</t>
  </si>
  <si>
    <r>
      <t>Sequestro de CO</t>
    </r>
    <r>
      <rPr>
        <vertAlign val="subscript"/>
        <sz val="10"/>
        <rFont val="Arial"/>
        <family val="2"/>
      </rPr>
      <t>2</t>
    </r>
  </si>
  <si>
    <r>
      <t>Por tonelada produzida
(tonelada CO</t>
    </r>
    <r>
      <rPr>
        <vertAlign val="subscript"/>
        <sz val="10"/>
        <color theme="1"/>
        <rFont val="Arial"/>
        <family val="2"/>
      </rPr>
      <t>2 eq</t>
    </r>
    <r>
      <rPr>
        <sz val="10"/>
        <color theme="1"/>
        <rFont val="Arial"/>
        <family val="2"/>
      </rPr>
      <t>/tonelada)</t>
    </r>
  </si>
  <si>
    <t>Número de repetições</t>
  </si>
  <si>
    <r>
      <t>Emissões líquidas (tonelada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>)</t>
    </r>
  </si>
  <si>
    <r>
      <t xml:space="preserve">Emissões líquidas </t>
    </r>
    <r>
      <rPr>
        <b/>
        <sz val="10"/>
        <color theme="1"/>
        <rFont val="Arial"/>
        <family val="2"/>
      </rPr>
      <t>por área (tonelada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>/hectare)</t>
    </r>
  </si>
  <si>
    <r>
      <t>Emissões líquidas por tonelada produzida (tonelada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>/tonelada)</t>
    </r>
  </si>
  <si>
    <r>
      <t>Emissões líquidas por área (tonelada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>/hectare)</t>
    </r>
  </si>
  <si>
    <t/>
  </si>
  <si>
    <t>Fatores variáveis</t>
  </si>
  <si>
    <t>PAG</t>
  </si>
  <si>
    <t>Conversão para GEE</t>
  </si>
  <si>
    <t>Fator</t>
  </si>
  <si>
    <t>Combustível</t>
  </si>
  <si>
    <t>Tabela 2. Conversor de GEE.</t>
  </si>
  <si>
    <t>Tabela 1. Práticas de adubação.</t>
  </si>
  <si>
    <t>Deposição atm. de N. volatilizado</t>
  </si>
  <si>
    <t>Total por GEE (toneladas métricas)</t>
  </si>
  <si>
    <t>GEE (toneladas métricas)</t>
  </si>
  <si>
    <t>Emissões de biocombustíveis</t>
  </si>
  <si>
    <t>Tabela 1. PAG dos GEE.</t>
  </si>
  <si>
    <t>5. Emissões por atividade agrícola</t>
  </si>
  <si>
    <t>Sequestro de carbono por GEE</t>
  </si>
  <si>
    <t>Sequestro de carbono
por categoria</t>
  </si>
  <si>
    <t>Tabela 1. Resumo das emissões.</t>
  </si>
  <si>
    <t>Tabela 2. Detalhes das emissões.</t>
  </si>
  <si>
    <t>m³</t>
  </si>
  <si>
    <t>Idade do rebanho</t>
  </si>
  <si>
    <t>Queimado como combustível</t>
  </si>
  <si>
    <t>Tiers 2</t>
  </si>
  <si>
    <t>Manejo de dejetos de animais</t>
  </si>
  <si>
    <t>Fermentação entérica</t>
  </si>
  <si>
    <r>
      <t>Por cabeça
(tonelada CO</t>
    </r>
    <r>
      <rPr>
        <vertAlign val="subscript"/>
        <sz val="10"/>
        <color theme="1"/>
        <rFont val="Arial"/>
        <family val="2"/>
      </rPr>
      <t>2 eq</t>
    </r>
    <r>
      <rPr>
        <sz val="10"/>
        <color theme="1"/>
        <rFont val="Arial"/>
        <family val="2"/>
      </rPr>
      <t>/cabeça)</t>
    </r>
  </si>
  <si>
    <r>
      <t>Emissões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 xml:space="preserve"> por cabeça (tonelada de CO</t>
    </r>
    <r>
      <rPr>
        <b/>
        <vertAlign val="subscript"/>
        <sz val="10"/>
        <color theme="1"/>
        <rFont val="Arial"/>
        <family val="2"/>
      </rPr>
      <t>2 eq</t>
    </r>
    <r>
      <rPr>
        <b/>
        <sz val="10"/>
        <color theme="1"/>
        <rFont val="Arial"/>
        <family val="2"/>
      </rPr>
      <t>/cabeça)</t>
    </r>
  </si>
  <si>
    <r>
      <t>Total por GEE (tonelada de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</t>
    </r>
    <r>
      <rPr>
        <vertAlign val="subscript"/>
        <sz val="10"/>
        <color theme="1"/>
        <rFont val="Arial"/>
        <family val="2"/>
      </rPr>
      <t>eq</t>
    </r>
    <r>
      <rPr>
        <sz val="10"/>
        <color theme="1"/>
        <rFont val="Arial"/>
        <family val="2"/>
      </rPr>
      <t>)</t>
    </r>
  </si>
  <si>
    <r>
      <t>Total por categoria
(tonelada de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</t>
    </r>
    <r>
      <rPr>
        <vertAlign val="subscript"/>
        <sz val="10"/>
        <color theme="1"/>
        <rFont val="Arial"/>
        <family val="2"/>
      </rPr>
      <t>eq</t>
    </r>
    <r>
      <rPr>
        <sz val="10"/>
        <color theme="1"/>
        <rFont val="Arial"/>
        <family val="2"/>
      </rPr>
      <t>)</t>
    </r>
  </si>
  <si>
    <t>Data do inventário</t>
  </si>
  <si>
    <t>Tabela 2. Práticas de adubação</t>
  </si>
  <si>
    <t>Tabela 3. Aplicação de defensivos agrícolas</t>
  </si>
  <si>
    <t>Média</t>
  </si>
  <si>
    <t>Período</t>
  </si>
  <si>
    <t>Data inicial</t>
  </si>
  <si>
    <t>Data final</t>
  </si>
  <si>
    <t>Tabela 1. Período de consumo de energia elétrica para o inventário</t>
  </si>
  <si>
    <t>Tabela 2. Consumo total no período</t>
  </si>
  <si>
    <t>Consumo</t>
  </si>
  <si>
    <t>MWh</t>
  </si>
  <si>
    <t>Início do ciclo</t>
  </si>
  <si>
    <t>Emissões específicas para rizicultura</t>
  </si>
  <si>
    <t>Ano base</t>
  </si>
  <si>
    <t>Compra de energia elétrica</t>
  </si>
  <si>
    <t>Ano-base</t>
  </si>
  <si>
    <t>EMBRAPA, 2003</t>
  </si>
  <si>
    <t>EMBRAPA, 2004</t>
  </si>
  <si>
    <t>KANEKO et al, 2009</t>
  </si>
  <si>
    <t>EMBRAPA, 2005</t>
  </si>
  <si>
    <t>EMBRAPA, 2010</t>
  </si>
  <si>
    <t>PERES et al, 2013</t>
  </si>
  <si>
    <t>FURLANETO et al, 2007</t>
  </si>
  <si>
    <t>RICHETTI &amp; LAZZAROTTO, 2009</t>
  </si>
  <si>
    <t>ASSAD E MARTINS, 2015</t>
  </si>
  <si>
    <t>Ano-safra</t>
  </si>
  <si>
    <t>Equipe de desenvolvimento da ferramenta</t>
  </si>
  <si>
    <t>Área da pastagem</t>
  </si>
  <si>
    <t>1. Emissões por escopo</t>
  </si>
  <si>
    <t>AGROANALYSIS, 2009</t>
  </si>
  <si>
    <t>Referência</t>
  </si>
  <si>
    <t>ANP, 2015</t>
  </si>
  <si>
    <t>Diesel B2</t>
  </si>
  <si>
    <t>Diesel B5</t>
  </si>
  <si>
    <t>Diesel B6</t>
  </si>
  <si>
    <t>Diesel B7</t>
  </si>
  <si>
    <t>A partir de 2008</t>
  </si>
  <si>
    <t>A partir de 2010</t>
  </si>
  <si>
    <t>A partir de 07/2014</t>
  </si>
  <si>
    <t>A partir de 11/2014</t>
  </si>
  <si>
    <t>Natália Kurimori</t>
  </si>
  <si>
    <t>IPCC, 2013</t>
  </si>
  <si>
    <t>Diesel puro</t>
  </si>
  <si>
    <t>Até 2007</t>
  </si>
  <si>
    <t>Biocombustíveis</t>
  </si>
  <si>
    <t>Tipo de combustível</t>
  </si>
  <si>
    <t>Tabela 3. Composição de combustíveis.</t>
  </si>
  <si>
    <t>Proporção</t>
  </si>
  <si>
    <t>Entre 6 e 12 meses</t>
  </si>
  <si>
    <t>Entre 0 e 6 meses</t>
  </si>
  <si>
    <t>Entre 12 e 24 meses</t>
  </si>
  <si>
    <t>Acima de 24 meses</t>
  </si>
  <si>
    <t>Idade</t>
  </si>
  <si>
    <t>FERREIRA et al., 1986</t>
  </si>
  <si>
    <t>Tabela 4. Composição dos adubos orgânicos.</t>
  </si>
  <si>
    <t>Tabela 5. Operações mecanizadas - Hora-máquina.</t>
  </si>
  <si>
    <t>Tabela 2. Cultivo de solos orgânicos.</t>
  </si>
  <si>
    <t>Tabela 3. Queima de resíduos das culturas.</t>
  </si>
  <si>
    <t>Tabela 4. Resíduos vegetais.</t>
  </si>
  <si>
    <t>Tabela 5. Fatores de emissão para rizicultura.</t>
  </si>
  <si>
    <t>Tabela 6. Sistema de manejo de dejetos animais - Tiers 2.</t>
  </si>
  <si>
    <t>Tabela 7. Manejo de dejetos animais.</t>
  </si>
  <si>
    <t>Tabela 8. Fermentação entérica.</t>
  </si>
  <si>
    <t>Tabela 9. Emissões provenientes de operações mecanizadas.</t>
  </si>
  <si>
    <t>Tabela 10. Compra de energia elétrica.</t>
  </si>
  <si>
    <t>Tabela 11. Emissões externas.</t>
  </si>
  <si>
    <t>Tabela 12. Mudança de uso do solo.</t>
  </si>
  <si>
    <t>Tabela 3. Outras emissões</t>
  </si>
  <si>
    <t>Toneladas métricas</t>
  </si>
  <si>
    <r>
      <t>Tonelada de CO</t>
    </r>
    <r>
      <rPr>
        <vertAlign val="subscript"/>
        <sz val="10"/>
        <color theme="1"/>
        <rFont val="Arial"/>
        <family val="2"/>
      </rPr>
      <t>2 eq</t>
    </r>
  </si>
  <si>
    <r>
      <t>3. Emissões líquidas (tonelada de 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equivalente)</t>
    </r>
  </si>
  <si>
    <r>
      <t>4. Outras emissões (tonelada de 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equivalente)</t>
    </r>
  </si>
  <si>
    <t>BRASIL, 2015</t>
  </si>
  <si>
    <t>MCT, 2010</t>
  </si>
  <si>
    <t>MCT, 2010; BRASIL, 2015; LESSA et al., 2014</t>
  </si>
  <si>
    <t>MCT, 2015</t>
  </si>
  <si>
    <t>Tabela 13. Combustíveis.</t>
  </si>
  <si>
    <t>Instruções gerais de uso da ferramenta</t>
  </si>
  <si>
    <t>Valores</t>
  </si>
  <si>
    <t>(A) As estimativas de emissões contempladas nesta ferramenta estão divididas por cultura agrícola.</t>
  </si>
  <si>
    <t>(1) 'Opções &gt; Central de confiabilidade do Excel &gt; Configurações da central de confiabilidade &gt; Locais confiáveis' e adicione a pasta de instalação da ferramenta.</t>
  </si>
  <si>
    <t>(2) 'Opções &gt; Central de confiabilidade do Excel &gt; Configurações da central de confiabilidade &gt; Configurações de macro' e marque a opção 'Habilitar todas as macros'.</t>
  </si>
  <si>
    <t>Menus e navegação</t>
  </si>
  <si>
    <t>(A) A navegação do usuário pela ferramenta pode ser feita pelo menu no topo das telas e pelo menu de abas do Excel.</t>
  </si>
  <si>
    <t>Preenchimento de formulários</t>
  </si>
  <si>
    <t>Salvar, recuperar e imprimir inventários</t>
  </si>
  <si>
    <t>Tabela 6. Pecuária</t>
  </si>
  <si>
    <t>(B) A ferramenta salva inventários no disco do computador e permite a recuperação destes utilizando os dados de identificação do usuário.</t>
  </si>
  <si>
    <t>(C) A verificação é feita pelos campos 'Nome da organização', 'Nome do usuário' e 'Ano-safra'.</t>
  </si>
  <si>
    <t>(A) Para salvar, recuperar e imprimir inventários, o usuário deve primeiro preencher os dados de identificação localizados na tela 'Início'. É aconselhável que a ferramente só seja utilizada após este procedimento.</t>
  </si>
  <si>
    <t>Cadastro de usuário</t>
  </si>
  <si>
    <t>(D) A impressão do inventário das emissões é feita no formato 'PDF'.</t>
  </si>
  <si>
    <t>(B) Os fatores de emissão utilizados podem ser consultados nas abas 'Fatores de emissão' e 'Fatores variáveis'. A alteração destes valores também modificará o cálculo das emissões.</t>
  </si>
  <si>
    <t>Atenção:</t>
  </si>
  <si>
    <t>Antes de utilizar a ferramenta, leia as orientações de uso na tela 'Instruções'.</t>
  </si>
  <si>
    <t>(C) Na tela 'Introdução' o usuário encontra a descrição da ferramenta, os processos por ela contemplados e a descrição dos escopos em que as emissões são divididas.</t>
  </si>
  <si>
    <t>(D) O referencial teórico utilizado nas estimavias das emissões de GEE na agricultura pode ser acessado pelo botão 'Metodologia', presente no menu de navegação.</t>
  </si>
  <si>
    <t>Reinicie a ferramenta após realizar um destes procedimentos para que as alterações tenham efeito.</t>
  </si>
  <si>
    <t>(B) Algumas telas dispõe de um menu de opções com funcionalidades exclusivas.</t>
  </si>
  <si>
    <t>(C) Na tela 'Síntese das emissões', item '5', o usuário pode acessar os detalhes das emissões por cultura agrícola acionando o botão '+' à esquerda do nome de cada cultura.</t>
  </si>
  <si>
    <t>(B) Nos formulários de culturas agrícolas, as colunas 'Detalhes' e 'Unidade' são apenas informativas.</t>
  </si>
  <si>
    <r>
      <t xml:space="preserve">(A) Nos formulários, as informações devem ser inseridas apenas nas células </t>
    </r>
    <r>
      <rPr>
        <b/>
        <sz val="10"/>
        <color theme="9"/>
        <rFont val="Arial"/>
        <family val="2"/>
      </rPr>
      <t>PREENCHIDAS COM ESTA COR</t>
    </r>
    <r>
      <rPr>
        <sz val="10"/>
        <color theme="1"/>
        <rFont val="Arial"/>
        <family val="2"/>
      </rPr>
      <t>.</t>
    </r>
  </si>
  <si>
    <r>
      <t xml:space="preserve">Ao longo dos últimos anos, a demanda por diretrizes técnicas específicas para o setor agrícola mundial cresceu consideravelmente. No contexto brasileiro, as emissões estimadas dos setores agrícolas e de mudanças no uso do solo contribuem, respectivamente, com 35% e 22% das emissões nacionais (Segundo as </t>
    </r>
    <r>
      <rPr>
        <sz val="10"/>
        <color rgb="FFFF0000"/>
        <rFont val="Arial"/>
        <family val="2"/>
      </rPr>
      <t>Estimativas Anuais de emissões de gases e efeito estufa no Brasil</t>
    </r>
    <r>
      <rPr>
        <sz val="10"/>
        <color theme="1"/>
        <rFont val="Arial"/>
        <family val="2"/>
      </rPr>
      <t xml:space="preserve">, MCTI 2013. Disponível no menu de links acima). Por estes motivos, o WRI iniciou em 2012 um projeto de 2 anos para criar novos recursos técnicos que fornecem às empresas e legisladores do Brasil ferramentas para mensurar e gerir de forma mais efetiva emissões agrícolas, o Projeto GHG Protocol Agrícola. No período compreendido entre 2012 e 2013, o projeto gerou dois recursos técnicos, as </t>
    </r>
    <r>
      <rPr>
        <sz val="10"/>
        <color rgb="FFFF0000"/>
        <rFont val="Arial"/>
        <family val="2"/>
      </rPr>
      <t>Diretrizes Agrícolas Brasileiras</t>
    </r>
    <r>
      <rPr>
        <sz val="10"/>
        <color theme="1"/>
        <rFont val="Arial"/>
        <family val="2"/>
      </rPr>
      <t xml:space="preserve"> (Disponível no menu de links acima) e a presente Ferramenta de Cálculo do GHG Protocol Agrícola.</t>
    </r>
  </si>
  <si>
    <r>
      <rPr>
        <b/>
        <sz val="10"/>
        <rFont val="Arial"/>
        <family val="2"/>
      </rPr>
      <t>Escopo 1</t>
    </r>
    <r>
      <rPr>
        <sz val="10"/>
        <rFont val="Arial"/>
        <family val="2"/>
      </rPr>
      <t>: São emissões diretas advindas de fontes da organização inventariante ou controladas por ela.</t>
    </r>
  </si>
  <si>
    <r>
      <t>Escopo 2</t>
    </r>
    <r>
      <rPr>
        <sz val="10"/>
        <color theme="1"/>
        <rFont val="Arial"/>
        <family val="2"/>
      </rPr>
      <t>: Emissões indiretas provenientes da aquisição de energia elétrica e térmica que é consumida pela organização inventariante. Nesta categoria são incluídas as emissões de GEE relativas à geração de energia elétrica e térmica comprada pela organização.</t>
    </r>
  </si>
  <si>
    <r>
      <rPr>
        <b/>
        <sz val="10"/>
        <rFont val="Arial"/>
        <family val="2"/>
      </rPr>
      <t>Escopo 3</t>
    </r>
    <r>
      <rPr>
        <sz val="10"/>
        <rFont val="Arial"/>
        <family val="2"/>
      </rPr>
      <t xml:space="preserve">: Todas as outras emissões indiretas, não relatadas no Escopo 2. As emissões do Escopo 3 são uma consequência das atividades da empresa, mas ocorrem em fontes que não pertencem ou não são controladas pela oraganização inventariante, geralmente relacionadas à cadeia de valor desta.  </t>
    </r>
  </si>
  <si>
    <r>
      <rPr>
        <b/>
        <sz val="10"/>
        <rFont val="Arial"/>
        <family val="2"/>
      </rPr>
      <t>Emissões biogênicas</t>
    </r>
    <r>
      <rPr>
        <sz val="10"/>
        <rFont val="Arial"/>
        <family val="2"/>
      </rPr>
      <t>: emissões de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que provém da queima de biomassa (material biológico feito de carbono, hidrogênio e oxigênio). Queimar biomassa resulta em emissões consideradas neutras em termos de impacto climático, pois o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é gerado através de um ciclo biológico curto (e não um ciclo geológico, como no caso do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de origem fóssil). A queima de biomassa de vegetação nativa advinda de mudanças no uso da terra (ou seja, de desmatamento), não é considerada neutra em termos de impacto climático e deve ser reportada dentro dos escopos 1 ou 3. </t>
    </r>
  </si>
  <si>
    <r>
      <rPr>
        <b/>
        <sz val="10"/>
        <rFont val="Arial"/>
        <family val="2"/>
      </rPr>
      <t>Sequestro de carbono</t>
    </r>
    <r>
      <rPr>
        <sz val="10"/>
        <rFont val="Arial"/>
        <family val="2"/>
      </rPr>
      <t>: carbono removido da atmosfera, seja pelo uso da terra (exemplo: plantio direto) ou mudança no uso da terra (exemplo: reflorestamento) em atividades realizadas diretamente pela empresa inventariante.</t>
    </r>
  </si>
  <si>
    <r>
      <rPr>
        <b/>
        <sz val="10"/>
        <color theme="1"/>
        <rFont val="Arial"/>
        <family val="2"/>
      </rPr>
      <t>Emissões líquidas</t>
    </r>
    <r>
      <rPr>
        <sz val="10"/>
        <color theme="1"/>
        <rFont val="Arial"/>
        <family val="2"/>
      </rPr>
      <t>: diferença entre as emissões totais e o sequestro de carbono, de acordo com a fórmula abaixo:</t>
    </r>
  </si>
  <si>
    <r>
      <rPr>
        <b/>
        <sz val="10"/>
        <color theme="1"/>
        <rFont val="Arial"/>
        <family val="2"/>
      </rPr>
      <t>Outros gases</t>
    </r>
    <r>
      <rPr>
        <sz val="10"/>
        <color theme="1"/>
        <rFont val="Arial"/>
        <family val="2"/>
      </rPr>
      <t>: Outros gases emitidos em decorrência das atividades agrícolas (ex: CO, NOx e NMVOC)</t>
    </r>
  </si>
  <si>
    <t>(E) Algumas rotinas desta ferramenta estão implementadas em macros, portanto as configurações de segurança devem permitir sua execução.</t>
  </si>
  <si>
    <t>Para acessar o controle de segurança de macros, siga um dos seguintes procedimentos:</t>
  </si>
  <si>
    <r>
      <t>tonelada N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O/tonelada nitrogênio</t>
    </r>
  </si>
  <si>
    <r>
      <t>tonelada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/tonelada ureia</t>
    </r>
  </si>
  <si>
    <r>
      <t>tonelada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/tonelada calcário</t>
    </r>
  </si>
  <si>
    <r>
      <t>tonelada N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O/tonelada adubo</t>
    </r>
  </si>
  <si>
    <r>
      <t>tonelada N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O/hectare/ano</t>
    </r>
  </si>
  <si>
    <r>
      <t>tonelada N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O/litro</t>
    </r>
  </si>
  <si>
    <r>
      <t>tonelada CO</t>
    </r>
    <r>
      <rPr>
        <vertAlign val="subscript"/>
        <sz val="10"/>
        <color theme="1"/>
        <rFont val="Arial"/>
        <family val="2"/>
      </rPr>
      <t>2 eq</t>
    </r>
    <r>
      <rPr>
        <sz val="10"/>
        <color theme="1"/>
        <rFont val="Arial"/>
        <family val="2"/>
      </rPr>
      <t>/hectare</t>
    </r>
  </si>
  <si>
    <r>
      <t>tonelada de N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O/hectare/ano</t>
    </r>
  </si>
  <si>
    <r>
      <t>tonelada N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O/tonelada produto</t>
    </r>
  </si>
  <si>
    <r>
      <t>tonelada CH</t>
    </r>
    <r>
      <rPr>
        <vertAlign val="subscript"/>
        <sz val="10"/>
        <color theme="1"/>
        <rFont val="Arial"/>
        <family val="2"/>
      </rPr>
      <t>4</t>
    </r>
    <r>
      <rPr>
        <sz val="10"/>
        <color theme="1"/>
        <rFont val="Arial"/>
        <family val="2"/>
      </rPr>
      <t>/hectare/ano</t>
    </r>
  </si>
  <si>
    <r>
      <t>tonelada N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O/animal/ano</t>
    </r>
  </si>
  <si>
    <r>
      <t>tonelada CH</t>
    </r>
    <r>
      <rPr>
        <vertAlign val="subscript"/>
        <sz val="10"/>
        <color theme="1"/>
        <rFont val="Arial"/>
        <family val="2"/>
      </rPr>
      <t>4</t>
    </r>
    <r>
      <rPr>
        <sz val="10"/>
        <color theme="1"/>
        <rFont val="Arial"/>
        <family val="2"/>
      </rPr>
      <t>/cabeça/ano</t>
    </r>
  </si>
  <si>
    <r>
      <t>tonelada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/MWh</t>
    </r>
  </si>
  <si>
    <r>
      <t>kg CO</t>
    </r>
    <r>
      <rPr>
        <vertAlign val="subscript"/>
        <sz val="10"/>
        <color theme="1"/>
        <rFont val="Arial"/>
        <family val="2"/>
      </rPr>
      <t>2 eq</t>
    </r>
    <r>
      <rPr>
        <sz val="10"/>
        <color theme="1"/>
        <rFont val="Arial"/>
        <family val="2"/>
      </rPr>
      <t>/kg produto</t>
    </r>
  </si>
  <si>
    <r>
      <t>tonelada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/hectare</t>
    </r>
  </si>
  <si>
    <r>
      <t>tonelada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/litro</t>
    </r>
  </si>
  <si>
    <t>O usuário deve informar o consumo total de energia elétrica no período estipulado e o ano base para o cálculo que deve ser, preferencialmente, o ano em que o sistema produtivo permaneceu mais tempo ativo.</t>
  </si>
  <si>
    <t>(C) No formulário 'Compra de energia elétrica', os campos 'Data inicial' e 'Data final' (Tabela 1) são preenchidos automaticamente pelo sistema e não devem ser alterados pelo usuário.</t>
  </si>
</sst>
</file>

<file path=xl/styles.xml><?xml version="1.0" encoding="utf-8"?>
<styleSheet xmlns="http://schemas.openxmlformats.org/spreadsheetml/2006/main">
  <numFmts count="9">
    <numFmt numFmtId="164" formatCode="#,##0.000000"/>
    <numFmt numFmtId="165" formatCode="#,##0.000"/>
    <numFmt numFmtId="166" formatCode="#,##0.0000"/>
    <numFmt numFmtId="167" formatCode="#,##0.00000"/>
    <numFmt numFmtId="168" formatCode="#,##0.00000000"/>
    <numFmt numFmtId="169" formatCode="#,##0.0"/>
    <numFmt numFmtId="170" formatCode="#,##0.0000000"/>
    <numFmt numFmtId="171" formatCode="#,##0.0000000000"/>
    <numFmt numFmtId="172" formatCode="0.00000"/>
  </numFmts>
  <fonts count="26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Arial"/>
      <family val="2"/>
    </font>
    <font>
      <b/>
      <u/>
      <sz val="10"/>
      <color theme="10"/>
      <name val="Arial"/>
      <family val="2"/>
    </font>
    <font>
      <b/>
      <i/>
      <sz val="10"/>
      <name val="Arial"/>
      <family val="2"/>
    </font>
    <font>
      <vertAlign val="subscript"/>
      <sz val="10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sz val="10"/>
      <color rgb="FF3F3F3F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i/>
      <sz val="10"/>
      <color theme="1"/>
      <name val="Arial"/>
      <family val="2"/>
    </font>
    <font>
      <sz val="12"/>
      <color theme="1"/>
      <name val="Arial"/>
      <family val="2"/>
    </font>
    <font>
      <vertAlign val="subscript"/>
      <sz val="10"/>
      <name val="Arial"/>
      <family val="2"/>
    </font>
    <font>
      <b/>
      <vertAlign val="subscript"/>
      <sz val="1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9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7710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lightDown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lightDown">
        <bgColor indexed="44"/>
      </patternFill>
    </fill>
    <fill>
      <patternFill patternType="lightDown">
        <bgColor rgb="FF92D050"/>
      </patternFill>
    </fill>
    <fill>
      <patternFill patternType="lightDown">
        <bgColor rgb="FFFFFF00"/>
      </patternFill>
    </fill>
    <fill>
      <patternFill patternType="lightDown">
        <bgColor theme="0" tint="-0.14999847407452621"/>
      </patternFill>
    </fill>
  </fills>
  <borders count="4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17">
    <xf numFmtId="0" fontId="0" fillId="0" borderId="0"/>
    <xf numFmtId="0" fontId="1" fillId="2" borderId="15" applyNumberFormat="0">
      <alignment horizontal="center" vertical="center"/>
      <protection locked="0"/>
    </xf>
    <xf numFmtId="0" fontId="1" fillId="3" borderId="15" applyNumberFormat="0">
      <alignment vertical="center"/>
    </xf>
    <xf numFmtId="0" fontId="1" fillId="4" borderId="15" applyNumberFormat="0">
      <alignment horizontal="left"/>
    </xf>
    <xf numFmtId="0" fontId="1" fillId="5" borderId="15" applyNumberFormat="0">
      <alignment horizontal="left" vertical="center"/>
    </xf>
    <xf numFmtId="0" fontId="1" fillId="12" borderId="15" applyNumberFormat="0">
      <alignment horizontal="left"/>
    </xf>
    <xf numFmtId="0" fontId="2" fillId="0" borderId="0" applyNumberFormat="0" applyFill="0" applyBorder="0" applyAlignment="0" applyProtection="0"/>
    <xf numFmtId="0" fontId="3" fillId="9" borderId="9" applyNumberFormat="0" applyAlignment="0" applyProtection="0"/>
    <xf numFmtId="0" fontId="4" fillId="10" borderId="8" applyNumberFormat="0" applyAlignment="0" applyProtection="0"/>
    <xf numFmtId="0" fontId="15" fillId="7" borderId="4"/>
    <xf numFmtId="0" fontId="5" fillId="6" borderId="15" applyNumberFormat="0">
      <alignment vertical="center" wrapText="1"/>
    </xf>
    <xf numFmtId="0" fontId="5" fillId="14" borderId="15"/>
    <xf numFmtId="0" fontId="5" fillId="0" borderId="15">
      <alignment horizontal="center"/>
    </xf>
    <xf numFmtId="0" fontId="5" fillId="11" borderId="15"/>
    <xf numFmtId="0" fontId="9" fillId="13" borderId="18" applyAlignment="0">
      <alignment horizontal="left"/>
    </xf>
    <xf numFmtId="0" fontId="5" fillId="0" borderId="6">
      <alignment horizontal="left"/>
    </xf>
    <xf numFmtId="166" fontId="5" fillId="0" borderId="15"/>
  </cellStyleXfs>
  <cellXfs count="473">
    <xf numFmtId="0" fontId="0" fillId="0" borderId="0" xfId="0"/>
    <xf numFmtId="0" fontId="5" fillId="0" borderId="0" xfId="0" applyFont="1" applyFill="1" applyBorder="1" applyProtection="1">
      <protection hidden="1"/>
    </xf>
    <xf numFmtId="0" fontId="5" fillId="0" borderId="0" xfId="0" applyFont="1" applyProtection="1">
      <protection hidden="1"/>
    </xf>
    <xf numFmtId="0" fontId="6" fillId="6" borderId="1" xfId="6" applyFont="1" applyFill="1" applyBorder="1" applyProtection="1">
      <protection hidden="1"/>
    </xf>
    <xf numFmtId="0" fontId="6" fillId="0" borderId="6" xfId="6" applyFont="1" applyFill="1" applyBorder="1" applyProtection="1">
      <protection hidden="1"/>
    </xf>
    <xf numFmtId="0" fontId="5" fillId="0" borderId="0" xfId="0" applyFont="1"/>
    <xf numFmtId="0" fontId="5" fillId="0" borderId="6" xfId="0" applyFont="1" applyFill="1" applyBorder="1" applyProtection="1">
      <protection hidden="1"/>
    </xf>
    <xf numFmtId="0" fontId="5" fillId="6" borderId="1" xfId="0" applyFont="1" applyFill="1" applyBorder="1" applyProtection="1">
      <protection hidden="1"/>
    </xf>
    <xf numFmtId="49" fontId="5" fillId="7" borderId="4" xfId="0" applyNumberFormat="1" applyFont="1" applyFill="1" applyBorder="1" applyProtection="1">
      <protection locked="0" hidden="1"/>
    </xf>
    <xf numFmtId="49" fontId="5" fillId="7" borderId="4" xfId="0" applyNumberFormat="1" applyFont="1" applyFill="1" applyBorder="1" applyAlignment="1" applyProtection="1">
      <alignment wrapText="1"/>
      <protection locked="0" hidden="1"/>
    </xf>
    <xf numFmtId="0" fontId="5" fillId="0" borderId="0" xfId="0" applyFont="1" applyFill="1" applyProtection="1">
      <protection hidden="1"/>
    </xf>
    <xf numFmtId="4" fontId="5" fillId="7" borderId="4" xfId="0" applyNumberFormat="1" applyFont="1" applyFill="1" applyBorder="1" applyProtection="1">
      <protection locked="0" hidden="1"/>
    </xf>
    <xf numFmtId="4" fontId="5" fillId="7" borderId="4" xfId="0" applyNumberFormat="1" applyFont="1" applyFill="1" applyBorder="1" applyAlignment="1" applyProtection="1">
      <protection locked="0" hidden="1"/>
    </xf>
    <xf numFmtId="1" fontId="5" fillId="7" borderId="4" xfId="0" applyNumberFormat="1" applyFont="1" applyFill="1" applyBorder="1" applyAlignment="1" applyProtection="1">
      <alignment wrapText="1"/>
      <protection locked="0" hidden="1"/>
    </xf>
    <xf numFmtId="2" fontId="5" fillId="7" borderId="4" xfId="0" applyNumberFormat="1" applyFont="1" applyFill="1" applyBorder="1" applyAlignment="1" applyProtection="1">
      <alignment wrapText="1"/>
      <protection locked="0" hidden="1"/>
    </xf>
    <xf numFmtId="14" fontId="5" fillId="7" borderId="4" xfId="0" applyNumberFormat="1" applyFont="1" applyFill="1" applyBorder="1" applyAlignment="1" applyProtection="1">
      <alignment wrapText="1"/>
      <protection locked="0" hidden="1"/>
    </xf>
    <xf numFmtId="4" fontId="5" fillId="7" borderId="4" xfId="0" applyNumberFormat="1" applyFont="1" applyFill="1" applyBorder="1" applyAlignment="1" applyProtection="1">
      <alignment wrapText="1"/>
      <protection locked="0" hidden="1"/>
    </xf>
    <xf numFmtId="0" fontId="9" fillId="0" borderId="0" xfId="0" applyFont="1"/>
    <xf numFmtId="0" fontId="9" fillId="0" borderId="0" xfId="0" applyFont="1" applyAlignment="1" applyProtection="1">
      <alignment vertical="center"/>
    </xf>
    <xf numFmtId="0" fontId="12" fillId="0" borderId="0" xfId="0" applyFont="1" applyAlignment="1">
      <alignment vertical="center"/>
    </xf>
    <xf numFmtId="0" fontId="5" fillId="0" borderId="0" xfId="0" applyFont="1" applyProtection="1"/>
    <xf numFmtId="0" fontId="5" fillId="6" borderId="1" xfId="0" applyFont="1" applyFill="1" applyBorder="1" applyProtection="1"/>
    <xf numFmtId="49" fontId="5" fillId="7" borderId="4" xfId="0" applyNumberFormat="1" applyFont="1" applyFill="1" applyBorder="1" applyAlignment="1" applyProtection="1">
      <alignment wrapText="1"/>
      <protection locked="0"/>
    </xf>
    <xf numFmtId="49" fontId="5" fillId="7" borderId="3" xfId="0" applyNumberFormat="1" applyFont="1" applyFill="1" applyBorder="1" applyAlignment="1" applyProtection="1">
      <alignment wrapText="1"/>
      <protection locked="0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6" fillId="0" borderId="0" xfId="6" applyFont="1" applyFill="1" applyBorder="1" applyProtection="1">
      <protection hidden="1"/>
    </xf>
    <xf numFmtId="4" fontId="5" fillId="7" borderId="15" xfId="0" applyNumberFormat="1" applyFont="1" applyFill="1" applyBorder="1" applyAlignment="1" applyProtection="1">
      <protection locked="0" hidden="1"/>
    </xf>
    <xf numFmtId="4" fontId="5" fillId="7" borderId="7" xfId="0" applyNumberFormat="1" applyFont="1" applyFill="1" applyBorder="1" applyAlignment="1" applyProtection="1">
      <protection locked="0" hidden="1"/>
    </xf>
    <xf numFmtId="14" fontId="5" fillId="7" borderId="7" xfId="0" applyNumberFormat="1" applyFont="1" applyFill="1" applyBorder="1" applyAlignment="1" applyProtection="1">
      <alignment wrapText="1"/>
      <protection locked="0" hidden="1"/>
    </xf>
    <xf numFmtId="0" fontId="5" fillId="14" borderId="15" xfId="11" applyFont="1" applyBorder="1"/>
    <xf numFmtId="0" fontId="5" fillId="14" borderId="19" xfId="11" applyFont="1" applyBorder="1" applyAlignment="1">
      <alignment horizontal="left"/>
    </xf>
    <xf numFmtId="0" fontId="5" fillId="14" borderId="15" xfId="11" applyFont="1" applyBorder="1" applyAlignment="1">
      <alignment horizontal="left"/>
    </xf>
    <xf numFmtId="0" fontId="1" fillId="4" borderId="15" xfId="3" applyFont="1" applyBorder="1">
      <alignment horizontal="left"/>
    </xf>
    <xf numFmtId="0" fontId="1" fillId="5" borderId="15" xfId="4" applyFont="1" applyBorder="1">
      <alignment horizontal="left" vertical="center"/>
    </xf>
    <xf numFmtId="0" fontId="5" fillId="11" borderId="1" xfId="13" applyFont="1" applyBorder="1" applyAlignment="1"/>
    <xf numFmtId="166" fontId="1" fillId="0" borderId="0" xfId="0" applyNumberFormat="1" applyFont="1" applyFill="1" applyBorder="1" applyAlignment="1" applyProtection="1">
      <alignment horizontal="left" vertical="center"/>
      <protection hidden="1"/>
    </xf>
    <xf numFmtId="0" fontId="5" fillId="14" borderId="15" xfId="11" applyFont="1"/>
    <xf numFmtId="49" fontId="5" fillId="7" borderId="15" xfId="0" applyNumberFormat="1" applyFont="1" applyFill="1" applyBorder="1" applyAlignment="1" applyProtection="1">
      <alignment wrapText="1"/>
      <protection locked="0" hidden="1"/>
    </xf>
    <xf numFmtId="14" fontId="5" fillId="7" borderId="15" xfId="0" applyNumberFormat="1" applyFont="1" applyFill="1" applyBorder="1" applyAlignment="1" applyProtection="1">
      <alignment wrapText="1"/>
      <protection locked="0" hidden="1"/>
    </xf>
    <xf numFmtId="0" fontId="18" fillId="0" borderId="0" xfId="0" applyFont="1"/>
    <xf numFmtId="0" fontId="18" fillId="14" borderId="15" xfId="11" applyFont="1" applyBorder="1" applyAlignment="1"/>
    <xf numFmtId="0" fontId="18" fillId="14" borderId="15" xfId="11" applyFont="1"/>
    <xf numFmtId="0" fontId="18" fillId="14" borderId="15" xfId="11" applyFont="1" applyBorder="1"/>
    <xf numFmtId="0" fontId="1" fillId="0" borderId="0" xfId="0" applyFont="1" applyFill="1" applyBorder="1" applyAlignment="1" applyProtection="1">
      <alignment horizontal="left" vertical="center"/>
      <protection hidden="1"/>
    </xf>
    <xf numFmtId="0" fontId="5" fillId="0" borderId="0" xfId="0" applyFont="1" applyProtection="1">
      <protection hidden="1"/>
    </xf>
    <xf numFmtId="0" fontId="1" fillId="3" borderId="5" xfId="2" applyFont="1" applyBorder="1" applyAlignment="1">
      <alignment horizontal="left" vertical="center"/>
    </xf>
    <xf numFmtId="0" fontId="20" fillId="0" borderId="6" xfId="0" applyFont="1" applyBorder="1" applyAlignment="1" applyProtection="1">
      <alignment horizontal="left" indent="2"/>
      <protection hidden="1"/>
    </xf>
    <xf numFmtId="0" fontId="9" fillId="14" borderId="15" xfId="11" applyFont="1" applyBorder="1" applyAlignment="1"/>
    <xf numFmtId="0" fontId="9" fillId="14" borderId="20" xfId="11" applyFont="1" applyBorder="1" applyAlignment="1">
      <alignment horizontal="left"/>
    </xf>
    <xf numFmtId="0" fontId="5" fillId="14" borderId="20" xfId="11" applyFont="1" applyBorder="1" applyAlignment="1">
      <alignment horizontal="left"/>
    </xf>
    <xf numFmtId="14" fontId="5" fillId="0" borderId="0" xfId="0" applyNumberFormat="1" applyFont="1" applyProtection="1"/>
    <xf numFmtId="0" fontId="5" fillId="0" borderId="0" xfId="0" applyNumberFormat="1" applyFont="1" applyProtection="1"/>
    <xf numFmtId="14" fontId="1" fillId="0" borderId="0" xfId="0" applyNumberFormat="1" applyFont="1" applyFill="1" applyBorder="1" applyAlignment="1" applyProtection="1">
      <alignment horizontal="left" vertical="center"/>
      <protection hidden="1"/>
    </xf>
    <xf numFmtId="0" fontId="18" fillId="0" borderId="0" xfId="0" applyFont="1" applyFill="1"/>
    <xf numFmtId="49" fontId="18" fillId="0" borderId="0" xfId="0" applyNumberFormat="1" applyFont="1"/>
    <xf numFmtId="0" fontId="18" fillId="0" borderId="0" xfId="0" applyFont="1" applyFill="1" applyBorder="1"/>
    <xf numFmtId="0" fontId="19" fillId="0" borderId="0" xfId="0" applyFont="1"/>
    <xf numFmtId="14" fontId="18" fillId="0" borderId="0" xfId="0" applyNumberFormat="1" applyFont="1"/>
    <xf numFmtId="0" fontId="21" fillId="0" borderId="0" xfId="0" applyFont="1" applyProtection="1">
      <protection hidden="1"/>
    </xf>
    <xf numFmtId="49" fontId="5" fillId="7" borderId="4" xfId="0" applyNumberFormat="1" applyFont="1" applyFill="1" applyBorder="1" applyAlignment="1" applyProtection="1">
      <protection locked="0" hidden="1"/>
    </xf>
    <xf numFmtId="2" fontId="18" fillId="0" borderId="0" xfId="0" applyNumberFormat="1" applyFont="1"/>
    <xf numFmtId="167" fontId="5" fillId="0" borderId="19" xfId="16" applyNumberFormat="1" applyFont="1" applyBorder="1"/>
    <xf numFmtId="167" fontId="5" fillId="0" borderId="15" xfId="16" applyNumberFormat="1" applyFont="1" applyBorder="1"/>
    <xf numFmtId="167" fontId="5" fillId="0" borderId="20" xfId="16" applyNumberFormat="1" applyFont="1" applyBorder="1"/>
    <xf numFmtId="167" fontId="9" fillId="0" borderId="20" xfId="16" applyNumberFormat="1" applyFont="1" applyBorder="1"/>
    <xf numFmtId="167" fontId="5" fillId="11" borderId="15" xfId="13" applyNumberFormat="1" applyFont="1" applyBorder="1"/>
    <xf numFmtId="167" fontId="5" fillId="11" borderId="20" xfId="13" applyNumberFormat="1" applyFont="1" applyBorder="1"/>
    <xf numFmtId="167" fontId="9" fillId="0" borderId="23" xfId="16" applyNumberFormat="1" applyFont="1" applyBorder="1"/>
    <xf numFmtId="167" fontId="9" fillId="0" borderId="26" xfId="16" applyNumberFormat="1" applyFont="1" applyBorder="1"/>
    <xf numFmtId="167" fontId="9" fillId="0" borderId="24" xfId="16" applyNumberFormat="1" applyFont="1" applyBorder="1"/>
    <xf numFmtId="0" fontId="18" fillId="14" borderId="15" xfId="11" applyFont="1" applyBorder="1" applyAlignment="1">
      <alignment horizontal="center"/>
    </xf>
    <xf numFmtId="4" fontId="5" fillId="7" borderId="4" xfId="0" applyNumberFormat="1" applyFont="1" applyFill="1" applyBorder="1" applyAlignment="1" applyProtection="1">
      <alignment wrapText="1"/>
      <protection locked="0"/>
    </xf>
    <xf numFmtId="3" fontId="5" fillId="7" borderId="4" xfId="0" applyNumberFormat="1" applyFont="1" applyFill="1" applyBorder="1" applyAlignment="1" applyProtection="1">
      <alignment wrapText="1"/>
      <protection locked="0" hidden="1"/>
    </xf>
    <xf numFmtId="3" fontId="5" fillId="7" borderId="4" xfId="0" applyNumberFormat="1" applyFont="1" applyFill="1" applyBorder="1" applyProtection="1">
      <protection locked="0" hidden="1"/>
    </xf>
    <xf numFmtId="3" fontId="5" fillId="7" borderId="15" xfId="0" applyNumberFormat="1" applyFont="1" applyFill="1" applyBorder="1" applyProtection="1">
      <protection locked="0" hidden="1"/>
    </xf>
    <xf numFmtId="49" fontId="1" fillId="2" borderId="25" xfId="1" applyNumberFormat="1" applyFont="1" applyBorder="1" applyAlignment="1" applyProtection="1">
      <alignment vertical="center"/>
      <protection locked="0"/>
    </xf>
    <xf numFmtId="4" fontId="1" fillId="2" borderId="7" xfId="1" applyNumberFormat="1" applyFont="1" applyBorder="1" applyAlignment="1" applyProtection="1">
      <protection locked="0"/>
    </xf>
    <xf numFmtId="0" fontId="5" fillId="0" borderId="0" xfId="0" applyFont="1" applyProtection="1">
      <protection locked="0" hidden="1"/>
    </xf>
    <xf numFmtId="4" fontId="1" fillId="2" borderId="15" xfId="1" applyNumberFormat="1" applyFont="1" applyAlignment="1" applyProtection="1">
      <protection locked="0"/>
    </xf>
    <xf numFmtId="49" fontId="1" fillId="2" borderId="7" xfId="1" applyNumberFormat="1" applyFont="1" applyBorder="1" applyAlignment="1" applyProtection="1">
      <protection locked="0"/>
    </xf>
    <xf numFmtId="0" fontId="5" fillId="11" borderId="1" xfId="13" applyFont="1" applyBorder="1" applyAlignment="1" applyProtection="1"/>
    <xf numFmtId="0" fontId="5" fillId="14" borderId="15" xfId="11" applyFont="1" applyBorder="1" applyProtection="1"/>
    <xf numFmtId="0" fontId="5" fillId="14" borderId="19" xfId="11" applyFont="1" applyBorder="1" applyAlignment="1" applyProtection="1">
      <alignment horizontal="left"/>
    </xf>
    <xf numFmtId="0" fontId="5" fillId="14" borderId="15" xfId="11" applyFont="1" applyBorder="1" applyAlignment="1" applyProtection="1">
      <alignment horizontal="left"/>
    </xf>
    <xf numFmtId="0" fontId="5" fillId="14" borderId="20" xfId="11" applyFont="1" applyBorder="1" applyAlignment="1" applyProtection="1">
      <alignment horizontal="left"/>
    </xf>
    <xf numFmtId="0" fontId="9" fillId="14" borderId="20" xfId="11" applyFont="1" applyBorder="1" applyAlignment="1" applyProtection="1">
      <alignment horizontal="left"/>
    </xf>
    <xf numFmtId="0" fontId="1" fillId="3" borderId="5" xfId="2" applyFont="1" applyBorder="1" applyAlignment="1" applyProtection="1">
      <alignment horizontal="left" vertical="center"/>
    </xf>
    <xf numFmtId="167" fontId="5" fillId="0" borderId="31" xfId="16" applyNumberFormat="1" applyFont="1" applyBorder="1" applyProtection="1"/>
    <xf numFmtId="167" fontId="5" fillId="0" borderId="15" xfId="16" applyNumberFormat="1" applyFont="1" applyBorder="1" applyProtection="1"/>
    <xf numFmtId="167" fontId="5" fillId="0" borderId="32" xfId="16" applyNumberFormat="1" applyFont="1" applyBorder="1" applyProtection="1"/>
    <xf numFmtId="167" fontId="5" fillId="0" borderId="19" xfId="16" applyNumberFormat="1" applyFont="1" applyBorder="1" applyProtection="1"/>
    <xf numFmtId="167" fontId="9" fillId="0" borderId="20" xfId="16" applyNumberFormat="1" applyFont="1" applyBorder="1" applyProtection="1"/>
    <xf numFmtId="0" fontId="1" fillId="4" borderId="15" xfId="3" applyFont="1" applyBorder="1" applyProtection="1">
      <alignment horizontal="left"/>
    </xf>
    <xf numFmtId="167" fontId="5" fillId="11" borderId="15" xfId="13" applyNumberFormat="1" applyFont="1" applyBorder="1" applyProtection="1"/>
    <xf numFmtId="167" fontId="5" fillId="11" borderId="20" xfId="13" applyNumberFormat="1" applyFont="1" applyBorder="1" applyProtection="1"/>
    <xf numFmtId="0" fontId="1" fillId="5" borderId="15" xfId="4" applyFont="1" applyBorder="1" applyProtection="1">
      <alignment horizontal="left" vertical="center"/>
    </xf>
    <xf numFmtId="0" fontId="9" fillId="14" borderId="15" xfId="11" applyFont="1" applyBorder="1" applyAlignment="1" applyProtection="1"/>
    <xf numFmtId="167" fontId="9" fillId="0" borderId="23" xfId="16" applyNumberFormat="1" applyFont="1" applyBorder="1" applyProtection="1"/>
    <xf numFmtId="167" fontId="9" fillId="0" borderId="26" xfId="16" applyNumberFormat="1" applyFont="1" applyBorder="1" applyProtection="1"/>
    <xf numFmtId="167" fontId="9" fillId="0" borderId="24" xfId="16" applyNumberFormat="1" applyFont="1" applyBorder="1" applyProtection="1"/>
    <xf numFmtId="0" fontId="5" fillId="14" borderId="1" xfId="11" applyFont="1" applyBorder="1" applyProtection="1"/>
    <xf numFmtId="0" fontId="5" fillId="11" borderId="15" xfId="13" applyFont="1" applyProtection="1"/>
    <xf numFmtId="0" fontId="5" fillId="14" borderId="15" xfId="11" applyFont="1" applyAlignment="1" applyProtection="1">
      <alignment horizontal="center" vertical="center" wrapText="1"/>
    </xf>
    <xf numFmtId="0" fontId="1" fillId="3" borderId="15" xfId="2" applyFont="1" applyAlignment="1" applyProtection="1">
      <alignment horizontal="left" vertical="center" indent="1"/>
    </xf>
    <xf numFmtId="167" fontId="1" fillId="3" borderId="15" xfId="2" applyNumberFormat="1" applyFont="1" applyAlignment="1" applyProtection="1">
      <alignment horizontal="right" vertical="center" indent="1"/>
    </xf>
    <xf numFmtId="0" fontId="1" fillId="5" borderId="15" xfId="4" applyFont="1" applyAlignment="1" applyProtection="1">
      <alignment horizontal="left" vertical="center" indent="1"/>
    </xf>
    <xf numFmtId="167" fontId="1" fillId="5" borderId="15" xfId="4" applyNumberFormat="1" applyFont="1" applyAlignment="1" applyProtection="1">
      <alignment horizontal="right" vertical="center" indent="1"/>
    </xf>
    <xf numFmtId="0" fontId="1" fillId="12" borderId="15" xfId="5" applyFont="1" applyAlignment="1" applyProtection="1">
      <alignment horizontal="left" indent="1"/>
    </xf>
    <xf numFmtId="167" fontId="1" fillId="12" borderId="15" xfId="5" applyNumberFormat="1" applyFont="1" applyAlignment="1" applyProtection="1">
      <alignment horizontal="right" indent="1"/>
    </xf>
    <xf numFmtId="0" fontId="1" fillId="12" borderId="5" xfId="5" applyFont="1" applyBorder="1" applyAlignment="1" applyProtection="1">
      <alignment horizontal="left" indent="1"/>
    </xf>
    <xf numFmtId="167" fontId="1" fillId="12" borderId="5" xfId="5" applyNumberFormat="1" applyFont="1" applyBorder="1" applyAlignment="1" applyProtection="1">
      <alignment horizontal="right" indent="1"/>
    </xf>
    <xf numFmtId="0" fontId="5" fillId="14" borderId="15" xfId="11" applyFont="1" applyBorder="1" applyAlignment="1" applyProtection="1">
      <alignment horizontal="left" indent="1"/>
    </xf>
    <xf numFmtId="167" fontId="5" fillId="14" borderId="15" xfId="11" applyNumberFormat="1" applyFont="1" applyBorder="1" applyAlignment="1" applyProtection="1">
      <alignment horizontal="right" indent="1"/>
    </xf>
    <xf numFmtId="0" fontId="5" fillId="11" borderId="1" xfId="13" applyFont="1" applyBorder="1" applyAlignment="1" applyProtection="1">
      <alignment horizontal="center"/>
    </xf>
    <xf numFmtId="0" fontId="5" fillId="11" borderId="2" xfId="13" applyFont="1" applyBorder="1" applyAlignment="1" applyProtection="1">
      <alignment horizontal="center"/>
    </xf>
    <xf numFmtId="0" fontId="5" fillId="14" borderId="16" xfId="11" applyFont="1" applyBorder="1" applyAlignment="1" applyProtection="1">
      <alignment horizontal="center" vertical="center"/>
    </xf>
    <xf numFmtId="0" fontId="5" fillId="14" borderId="19" xfId="11" applyFont="1" applyBorder="1" applyAlignment="1" applyProtection="1">
      <alignment horizontal="center"/>
    </xf>
    <xf numFmtId="0" fontId="5" fillId="14" borderId="15" xfId="11" applyFont="1" applyBorder="1" applyAlignment="1" applyProtection="1">
      <alignment horizontal="center"/>
    </xf>
    <xf numFmtId="0" fontId="5" fillId="14" borderId="20" xfId="11" applyFont="1" applyBorder="1" applyAlignment="1" applyProtection="1">
      <alignment horizontal="center"/>
    </xf>
    <xf numFmtId="0" fontId="1" fillId="3" borderId="15" xfId="2" applyFont="1" applyBorder="1" applyAlignment="1" applyProtection="1">
      <alignment horizontal="left" indent="1"/>
    </xf>
    <xf numFmtId="0" fontId="5" fillId="8" borderId="1" xfId="12" applyFont="1" applyFill="1" applyBorder="1" applyAlignment="1" applyProtection="1">
      <alignment horizontal="left" indent="1"/>
    </xf>
    <xf numFmtId="167" fontId="1" fillId="3" borderId="19" xfId="2" applyNumberFormat="1" applyFont="1" applyBorder="1" applyAlignment="1" applyProtection="1">
      <alignment horizontal="right" vertical="center" indent="1"/>
    </xf>
    <xf numFmtId="167" fontId="1" fillId="3" borderId="15" xfId="2" applyNumberFormat="1" applyFont="1" applyBorder="1" applyAlignment="1" applyProtection="1">
      <alignment horizontal="right" vertical="center" indent="1"/>
    </xf>
    <xf numFmtId="167" fontId="1" fillId="15" borderId="20" xfId="2" applyNumberFormat="1" applyFont="1" applyFill="1" applyBorder="1" applyAlignment="1" applyProtection="1">
      <alignment horizontal="right" vertical="center" indent="1"/>
    </xf>
    <xf numFmtId="167" fontId="1" fillId="16" borderId="20" xfId="5" applyNumberFormat="1" applyFill="1" applyBorder="1" applyProtection="1">
      <alignment horizontal="left"/>
    </xf>
    <xf numFmtId="167" fontId="1" fillId="15" borderId="15" xfId="2" applyNumberFormat="1" applyFont="1" applyFill="1" applyBorder="1" applyAlignment="1" applyProtection="1">
      <alignment horizontal="right" vertical="center" indent="1"/>
    </xf>
    <xf numFmtId="167" fontId="1" fillId="15" borderId="19" xfId="2" applyNumberFormat="1" applyFont="1" applyFill="1" applyBorder="1" applyAlignment="1" applyProtection="1">
      <alignment horizontal="right" vertical="center" indent="1"/>
    </xf>
    <xf numFmtId="167" fontId="1" fillId="3" borderId="20" xfId="2" applyNumberFormat="1" applyFont="1" applyBorder="1" applyAlignment="1" applyProtection="1">
      <alignment horizontal="right" vertical="center" indent="1"/>
    </xf>
    <xf numFmtId="0" fontId="1" fillId="3" borderId="15" xfId="2" applyFont="1" applyAlignment="1" applyProtection="1">
      <alignment horizontal="left" indent="1"/>
    </xf>
    <xf numFmtId="0" fontId="1" fillId="3" borderId="15" xfId="2" applyFont="1" applyBorder="1" applyAlignment="1" applyProtection="1">
      <alignment horizontal="left" vertical="center" indent="1"/>
    </xf>
    <xf numFmtId="0" fontId="1" fillId="5" borderId="15" xfId="4" applyFont="1" applyBorder="1" applyAlignment="1" applyProtection="1">
      <alignment horizontal="left" indent="1"/>
    </xf>
    <xf numFmtId="0" fontId="5" fillId="5" borderId="1" xfId="12" applyFont="1" applyFill="1" applyBorder="1" applyAlignment="1" applyProtection="1">
      <alignment horizontal="left" indent="1"/>
    </xf>
    <xf numFmtId="167" fontId="1" fillId="5" borderId="19" xfId="4" applyNumberFormat="1" applyFont="1" applyBorder="1" applyAlignment="1" applyProtection="1">
      <alignment horizontal="right" vertical="center" indent="1"/>
    </xf>
    <xf numFmtId="167" fontId="1" fillId="17" borderId="15" xfId="4" applyNumberFormat="1" applyFont="1" applyFill="1" applyBorder="1" applyAlignment="1" applyProtection="1">
      <alignment horizontal="right" vertical="center" indent="1"/>
    </xf>
    <xf numFmtId="167" fontId="1" fillId="17" borderId="20" xfId="4" applyNumberFormat="1" applyFont="1" applyFill="1" applyBorder="1" applyAlignment="1" applyProtection="1">
      <alignment horizontal="right" vertical="center" indent="1"/>
    </xf>
    <xf numFmtId="0" fontId="1" fillId="12" borderId="15" xfId="5" applyFont="1" applyBorder="1" applyAlignment="1" applyProtection="1">
      <alignment horizontal="left" indent="1"/>
    </xf>
    <xf numFmtId="0" fontId="5" fillId="12" borderId="1" xfId="12" applyFont="1" applyFill="1" applyBorder="1" applyAlignment="1" applyProtection="1">
      <alignment horizontal="left" indent="1"/>
    </xf>
    <xf numFmtId="167" fontId="1" fillId="12" borderId="19" xfId="5" applyNumberFormat="1" applyFont="1" applyBorder="1" applyAlignment="1" applyProtection="1">
      <alignment horizontal="right" vertical="center" indent="1"/>
    </xf>
    <xf numFmtId="167" fontId="1" fillId="16" borderId="15" xfId="5" applyNumberFormat="1" applyFont="1" applyFill="1" applyBorder="1" applyAlignment="1" applyProtection="1">
      <alignment horizontal="right" vertical="center" indent="1"/>
    </xf>
    <xf numFmtId="167" fontId="1" fillId="16" borderId="20" xfId="5" applyNumberFormat="1" applyFont="1" applyFill="1" applyBorder="1" applyAlignment="1" applyProtection="1">
      <alignment horizontal="right" vertical="center" indent="1"/>
    </xf>
    <xf numFmtId="167" fontId="1" fillId="12" borderId="19" xfId="5" applyNumberFormat="1" applyFont="1" applyBorder="1" applyAlignment="1" applyProtection="1">
      <alignment horizontal="right" indent="1"/>
    </xf>
    <xf numFmtId="167" fontId="1" fillId="12" borderId="20" xfId="5" applyNumberFormat="1" applyBorder="1" applyAlignment="1" applyProtection="1">
      <alignment horizontal="right" indent="1"/>
    </xf>
    <xf numFmtId="0" fontId="5" fillId="12" borderId="16" xfId="12" applyFont="1" applyFill="1" applyBorder="1" applyAlignment="1" applyProtection="1">
      <alignment horizontal="left" indent="1"/>
    </xf>
    <xf numFmtId="167" fontId="1" fillId="12" borderId="29" xfId="5" applyNumberFormat="1" applyFont="1" applyBorder="1" applyAlignment="1" applyProtection="1">
      <alignment horizontal="right" vertical="center" indent="1"/>
    </xf>
    <xf numFmtId="167" fontId="1" fillId="16" borderId="5" xfId="5" applyNumberFormat="1" applyFont="1" applyFill="1" applyBorder="1" applyAlignment="1" applyProtection="1">
      <alignment horizontal="right" vertical="center" indent="1"/>
    </xf>
    <xf numFmtId="167" fontId="1" fillId="16" borderId="28" xfId="5" applyNumberFormat="1" applyFont="1" applyFill="1" applyBorder="1" applyAlignment="1" applyProtection="1">
      <alignment horizontal="right" vertical="center" indent="1"/>
    </xf>
    <xf numFmtId="167" fontId="1" fillId="12" borderId="29" xfId="5" applyNumberFormat="1" applyFont="1" applyBorder="1" applyAlignment="1" applyProtection="1">
      <alignment horizontal="right" indent="1"/>
    </xf>
    <xf numFmtId="167" fontId="1" fillId="16" borderId="28" xfId="5" applyNumberFormat="1" applyFill="1" applyBorder="1" applyProtection="1">
      <alignment horizontal="left"/>
    </xf>
    <xf numFmtId="0" fontId="5" fillId="11" borderId="16" xfId="13" applyFont="1" applyBorder="1" applyAlignment="1" applyProtection="1"/>
    <xf numFmtId="0" fontId="5" fillId="11" borderId="10" xfId="13" applyFont="1" applyBorder="1" applyAlignment="1" applyProtection="1"/>
    <xf numFmtId="0" fontId="5" fillId="14" borderId="33" xfId="11" applyFont="1" applyBorder="1" applyAlignment="1" applyProtection="1">
      <alignment horizontal="left" indent="1"/>
    </xf>
    <xf numFmtId="167" fontId="5" fillId="6" borderId="21" xfId="16" applyNumberFormat="1" applyFont="1" applyFill="1" applyBorder="1" applyAlignment="1" applyProtection="1">
      <alignment horizontal="right" indent="1"/>
    </xf>
    <xf numFmtId="167" fontId="5" fillId="6" borderId="25" xfId="16" applyNumberFormat="1" applyFont="1" applyFill="1" applyBorder="1" applyAlignment="1" applyProtection="1">
      <alignment horizontal="right" indent="1"/>
    </xf>
    <xf numFmtId="167" fontId="5" fillId="6" borderId="22" xfId="16" applyNumberFormat="1" applyFont="1" applyFill="1" applyBorder="1" applyAlignment="1" applyProtection="1">
      <alignment horizontal="right" indent="1"/>
    </xf>
    <xf numFmtId="167" fontId="1" fillId="12" borderId="22" xfId="5" applyNumberFormat="1" applyBorder="1" applyAlignment="1" applyProtection="1">
      <alignment horizontal="right" indent="1"/>
    </xf>
    <xf numFmtId="0" fontId="5" fillId="11" borderId="17" xfId="13" applyFont="1" applyBorder="1" applyAlignment="1" applyProtection="1"/>
    <xf numFmtId="0" fontId="5" fillId="11" borderId="0" xfId="13" applyFont="1" applyBorder="1" applyAlignment="1" applyProtection="1"/>
    <xf numFmtId="0" fontId="5" fillId="14" borderId="31" xfId="11" applyFont="1" applyBorder="1" applyAlignment="1" applyProtection="1">
      <alignment horizontal="left" indent="1"/>
    </xf>
    <xf numFmtId="167" fontId="5" fillId="6" borderId="19" xfId="16" applyNumberFormat="1" applyFont="1" applyFill="1" applyBorder="1" applyAlignment="1" applyProtection="1">
      <alignment horizontal="right" indent="1"/>
    </xf>
    <xf numFmtId="167" fontId="5" fillId="6" borderId="15" xfId="16" applyNumberFormat="1" applyFont="1" applyFill="1" applyBorder="1" applyAlignment="1" applyProtection="1">
      <alignment horizontal="right" indent="1"/>
    </xf>
    <xf numFmtId="167" fontId="5" fillId="6" borderId="20" xfId="16" applyNumberFormat="1" applyFont="1" applyFill="1" applyBorder="1" applyAlignment="1" applyProtection="1">
      <alignment horizontal="right" indent="1"/>
    </xf>
    <xf numFmtId="0" fontId="5" fillId="18" borderId="19" xfId="13" applyFont="1" applyFill="1" applyBorder="1" applyAlignment="1" applyProtection="1"/>
    <xf numFmtId="166" fontId="1" fillId="16" borderId="20" xfId="5" applyNumberFormat="1" applyFill="1" applyBorder="1" applyProtection="1">
      <alignment horizontal="left"/>
    </xf>
    <xf numFmtId="0" fontId="5" fillId="11" borderId="11" xfId="13" applyFont="1" applyBorder="1" applyAlignment="1" applyProtection="1"/>
    <xf numFmtId="0" fontId="5" fillId="11" borderId="6" xfId="13" applyFont="1" applyBorder="1" applyAlignment="1" applyProtection="1"/>
    <xf numFmtId="0" fontId="1" fillId="12" borderId="34" xfId="5" applyFont="1" applyBorder="1" applyAlignment="1" applyProtection="1">
      <alignment horizontal="left" vertical="center" indent="1"/>
    </xf>
    <xf numFmtId="167" fontId="1" fillId="12" borderId="23" xfId="5" applyNumberFormat="1" applyFont="1" applyBorder="1" applyAlignment="1" applyProtection="1">
      <alignment horizontal="right" vertical="center" indent="1"/>
    </xf>
    <xf numFmtId="167" fontId="1" fillId="16" borderId="26" xfId="5" applyNumberFormat="1" applyFont="1" applyFill="1" applyBorder="1" applyAlignment="1" applyProtection="1">
      <alignment horizontal="right" vertical="center" indent="1"/>
    </xf>
    <xf numFmtId="167" fontId="1" fillId="16" borderId="24" xfId="5" applyNumberFormat="1" applyFont="1" applyFill="1" applyBorder="1" applyAlignment="1" applyProtection="1">
      <alignment horizontal="right" vertical="center" indent="1"/>
    </xf>
    <xf numFmtId="167" fontId="1" fillId="16" borderId="23" xfId="5" applyNumberFormat="1" applyFill="1" applyBorder="1" applyProtection="1">
      <alignment horizontal="left"/>
    </xf>
    <xf numFmtId="166" fontId="1" fillId="16" borderId="24" xfId="5" applyNumberFormat="1" applyFill="1" applyBorder="1" applyProtection="1">
      <alignment horizontal="left"/>
    </xf>
    <xf numFmtId="0" fontId="5" fillId="11" borderId="15" xfId="13" applyProtection="1"/>
    <xf numFmtId="0" fontId="5" fillId="14" borderId="15" xfId="11" applyAlignment="1" applyProtection="1">
      <alignment horizontal="center"/>
    </xf>
    <xf numFmtId="0" fontId="5" fillId="14" borderId="15" xfId="11" applyProtection="1"/>
    <xf numFmtId="166" fontId="5" fillId="0" borderId="15" xfId="16" applyAlignment="1" applyProtection="1">
      <alignment horizontal="right" indent="1"/>
    </xf>
    <xf numFmtId="0" fontId="5" fillId="11" borderId="15" xfId="13" applyFont="1" applyAlignment="1" applyProtection="1">
      <alignment horizontal="center"/>
    </xf>
    <xf numFmtId="0" fontId="5" fillId="14" borderId="1" xfId="11" applyFont="1" applyBorder="1" applyAlignment="1" applyProtection="1">
      <alignment horizontal="center"/>
    </xf>
    <xf numFmtId="167" fontId="1" fillId="15" borderId="1" xfId="2" applyNumberFormat="1" applyFont="1" applyFill="1" applyBorder="1" applyAlignment="1" applyProtection="1">
      <alignment horizontal="right" vertical="center" indent="1"/>
    </xf>
    <xf numFmtId="167" fontId="1" fillId="3" borderId="1" xfId="2" applyNumberFormat="1" applyFont="1" applyBorder="1" applyAlignment="1" applyProtection="1">
      <alignment horizontal="right" vertical="center" indent="1"/>
    </xf>
    <xf numFmtId="167" fontId="1" fillId="17" borderId="1" xfId="4" applyNumberFormat="1" applyFont="1" applyFill="1" applyBorder="1" applyAlignment="1" applyProtection="1">
      <alignment horizontal="right" vertical="center" indent="1"/>
    </xf>
    <xf numFmtId="167" fontId="1" fillId="16" borderId="1" xfId="5" applyNumberFormat="1" applyFont="1" applyFill="1" applyBorder="1" applyAlignment="1" applyProtection="1">
      <alignment horizontal="right" vertical="center" indent="1"/>
    </xf>
    <xf numFmtId="167" fontId="1" fillId="16" borderId="16" xfId="5" applyNumberFormat="1" applyFont="1" applyFill="1" applyBorder="1" applyAlignment="1" applyProtection="1">
      <alignment horizontal="right" vertical="center" indent="1"/>
    </xf>
    <xf numFmtId="167" fontId="1" fillId="12" borderId="23" xfId="5" applyNumberFormat="1" applyFont="1" applyBorder="1" applyAlignment="1" applyProtection="1">
      <alignment horizontal="right" indent="1"/>
    </xf>
    <xf numFmtId="167" fontId="5" fillId="6" borderId="35" xfId="16" applyNumberFormat="1" applyFont="1" applyFill="1" applyBorder="1" applyAlignment="1" applyProtection="1">
      <alignment horizontal="right" indent="1"/>
    </xf>
    <xf numFmtId="167" fontId="5" fillId="6" borderId="38" xfId="16" applyNumberFormat="1" applyFont="1" applyFill="1" applyBorder="1" applyAlignment="1" applyProtection="1">
      <alignment horizontal="right" indent="1"/>
    </xf>
    <xf numFmtId="167" fontId="1" fillId="12" borderId="39" xfId="5" applyNumberFormat="1" applyBorder="1" applyAlignment="1" applyProtection="1">
      <alignment horizontal="right" indent="1"/>
    </xf>
    <xf numFmtId="167" fontId="5" fillId="6" borderId="1" xfId="16" applyNumberFormat="1" applyFont="1" applyFill="1" applyBorder="1" applyAlignment="1" applyProtection="1">
      <alignment horizontal="right" indent="1"/>
    </xf>
    <xf numFmtId="167" fontId="5" fillId="18" borderId="19" xfId="13" applyNumberFormat="1" applyFont="1" applyFill="1" applyBorder="1" applyAlignment="1" applyProtection="1"/>
    <xf numFmtId="167" fontId="1" fillId="16" borderId="36" xfId="5" applyNumberFormat="1" applyFont="1" applyFill="1" applyBorder="1" applyAlignment="1" applyProtection="1">
      <alignment horizontal="right" vertical="center" indent="1"/>
    </xf>
    <xf numFmtId="167" fontId="1" fillId="16" borderId="24" xfId="5" applyNumberFormat="1" applyFill="1" applyBorder="1" applyProtection="1">
      <alignment horizontal="left"/>
    </xf>
    <xf numFmtId="167" fontId="5" fillId="18" borderId="30" xfId="13" applyNumberFormat="1" applyFont="1" applyFill="1" applyBorder="1" applyAlignment="1" applyProtection="1"/>
    <xf numFmtId="167" fontId="1" fillId="16" borderId="23" xfId="5" applyNumberFormat="1" applyFont="1" applyFill="1" applyBorder="1" applyAlignment="1" applyProtection="1">
      <alignment horizontal="right" vertical="center" indent="1"/>
    </xf>
    <xf numFmtId="172" fontId="1" fillId="3" borderId="15" xfId="2" applyNumberFormat="1" applyFont="1" applyAlignment="1" applyProtection="1">
      <alignment horizontal="right" vertical="center" indent="1"/>
    </xf>
    <xf numFmtId="172" fontId="1" fillId="5" borderId="15" xfId="4" applyNumberFormat="1" applyFont="1" applyAlignment="1" applyProtection="1">
      <alignment horizontal="right" vertical="center" indent="1"/>
    </xf>
    <xf numFmtId="172" fontId="1" fillId="12" borderId="15" xfId="5" applyNumberFormat="1" applyFont="1" applyAlignment="1" applyProtection="1">
      <alignment horizontal="right" indent="1"/>
    </xf>
    <xf numFmtId="172" fontId="1" fillId="12" borderId="5" xfId="5" applyNumberFormat="1" applyFont="1" applyBorder="1" applyAlignment="1" applyProtection="1">
      <alignment horizontal="right" indent="1"/>
    </xf>
    <xf numFmtId="172" fontId="5" fillId="14" borderId="15" xfId="11" applyNumberFormat="1" applyFont="1" applyBorder="1" applyAlignment="1" applyProtection="1">
      <alignment horizontal="right" indent="1"/>
    </xf>
    <xf numFmtId="4" fontId="1" fillId="2" borderId="15" xfId="1" applyNumberFormat="1" applyFont="1" applyBorder="1" applyAlignment="1" applyProtection="1">
      <alignment vertical="center"/>
      <protection locked="0"/>
    </xf>
    <xf numFmtId="4" fontId="5" fillId="7" borderId="15" xfId="0" applyNumberFormat="1" applyFont="1" applyFill="1" applyBorder="1" applyAlignment="1" applyProtection="1">
      <alignment wrapText="1"/>
      <protection locked="0" hidden="1"/>
    </xf>
    <xf numFmtId="0" fontId="5" fillId="14" borderId="1" xfId="11" applyFont="1" applyBorder="1"/>
    <xf numFmtId="0" fontId="5" fillId="14" borderId="1" xfId="11" applyFont="1" applyBorder="1" applyProtection="1">
      <protection locked="0"/>
    </xf>
    <xf numFmtId="0" fontId="5" fillId="0" borderId="0" xfId="0" quotePrefix="1" applyFont="1" applyProtection="1">
      <protection hidden="1"/>
    </xf>
    <xf numFmtId="0" fontId="5" fillId="0" borderId="0" xfId="0" applyFont="1" applyAlignment="1">
      <alignment horizontal="left"/>
    </xf>
    <xf numFmtId="0" fontId="5" fillId="0" borderId="0" xfId="0" quotePrefix="1" applyFont="1"/>
    <xf numFmtId="0" fontId="5" fillId="0" borderId="0" xfId="0" quotePrefix="1" applyFont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0" borderId="0" xfId="0" applyFont="1" applyAlignme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0" xfId="0" applyFont="1" applyBorder="1" applyAlignment="1">
      <alignment horizontal="left" vertical="center"/>
    </xf>
    <xf numFmtId="0" fontId="5" fillId="0" borderId="10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24" fillId="0" borderId="0" xfId="0" applyFont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11" xfId="0" applyFont="1" applyBorder="1" applyAlignment="1">
      <alignment vertical="center"/>
    </xf>
    <xf numFmtId="0" fontId="5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5" fillId="6" borderId="11" xfId="0" applyFont="1" applyFill="1" applyBorder="1" applyAlignment="1">
      <alignment vertical="center" wrapText="1"/>
    </xf>
    <xf numFmtId="0" fontId="5" fillId="6" borderId="6" xfId="0" applyFont="1" applyFill="1" applyBorder="1" applyAlignment="1">
      <alignment vertical="center" wrapText="1"/>
    </xf>
    <xf numFmtId="0" fontId="5" fillId="6" borderId="12" xfId="0" applyFont="1" applyFill="1" applyBorder="1" applyAlignment="1">
      <alignment vertical="center" wrapText="1"/>
    </xf>
    <xf numFmtId="0" fontId="5" fillId="0" borderId="6" xfId="0" applyFont="1" applyBorder="1" applyAlignment="1">
      <alignment horizontal="left" vertical="center" wrapText="1"/>
    </xf>
    <xf numFmtId="0" fontId="25" fillId="0" borderId="0" xfId="0" applyFont="1"/>
    <xf numFmtId="0" fontId="5" fillId="0" borderId="15" xfId="0" applyFont="1" applyBorder="1" applyAlignment="1">
      <alignment vertical="center"/>
    </xf>
    <xf numFmtId="49" fontId="5" fillId="0" borderId="0" xfId="0" applyNumberFormat="1" applyFont="1" applyBorder="1" applyAlignment="1" applyProtection="1">
      <alignment horizontal="left" indent="1"/>
    </xf>
    <xf numFmtId="0" fontId="5" fillId="0" borderId="0" xfId="0" quotePrefix="1" applyFont="1" applyAlignment="1">
      <alignment horizontal="left" indent="2"/>
    </xf>
    <xf numFmtId="0" fontId="5" fillId="0" borderId="0" xfId="0" applyFont="1" applyFill="1" applyAlignment="1"/>
    <xf numFmtId="0" fontId="5" fillId="6" borderId="1" xfId="0" applyFont="1" applyFill="1" applyBorder="1"/>
    <xf numFmtId="0" fontId="5" fillId="11" borderId="16" xfId="13" applyFont="1" applyBorder="1" applyAlignment="1"/>
    <xf numFmtId="0" fontId="5" fillId="11" borderId="14" xfId="13" applyFont="1" applyBorder="1" applyAlignment="1"/>
    <xf numFmtId="0" fontId="5" fillId="11" borderId="11" xfId="13" applyFont="1" applyBorder="1" applyAlignment="1"/>
    <xf numFmtId="0" fontId="5" fillId="11" borderId="12" xfId="13" applyFont="1" applyBorder="1" applyAlignment="1"/>
    <xf numFmtId="0" fontId="5" fillId="14" borderId="15" xfId="11" applyFont="1" applyAlignment="1">
      <alignment vertical="center"/>
    </xf>
    <xf numFmtId="0" fontId="5" fillId="14" borderId="15" xfId="11" applyFont="1" applyBorder="1" applyAlignment="1"/>
    <xf numFmtId="166" fontId="5" fillId="0" borderId="15" xfId="16" applyFont="1" applyAlignment="1">
      <alignment horizontal="left" indent="1"/>
    </xf>
    <xf numFmtId="0" fontId="5" fillId="11" borderId="15" xfId="13" applyFont="1" applyAlignment="1">
      <alignment horizontal="right" indent="1"/>
    </xf>
    <xf numFmtId="0" fontId="5" fillId="11" borderId="15" xfId="13" applyFont="1" applyAlignment="1">
      <alignment horizontal="left" indent="1"/>
    </xf>
    <xf numFmtId="168" fontId="5" fillId="0" borderId="15" xfId="16" applyNumberFormat="1" applyFont="1" applyBorder="1" applyAlignment="1">
      <alignment horizontal="right" indent="1"/>
    </xf>
    <xf numFmtId="166" fontId="5" fillId="0" borderId="15" xfId="16" applyFont="1" applyBorder="1" applyAlignment="1">
      <alignment horizontal="left" indent="1"/>
    </xf>
    <xf numFmtId="167" fontId="5" fillId="0" borderId="15" xfId="16" applyNumberFormat="1" applyFont="1" applyFill="1" applyBorder="1" applyAlignment="1">
      <alignment horizontal="right" indent="1"/>
    </xf>
    <xf numFmtId="166" fontId="5" fillId="0" borderId="15" xfId="16" applyFont="1" applyFill="1" applyBorder="1" applyAlignment="1">
      <alignment horizontal="left" indent="1"/>
    </xf>
    <xf numFmtId="171" fontId="5" fillId="0" borderId="15" xfId="16" applyNumberFormat="1" applyFont="1" applyBorder="1" applyAlignment="1">
      <alignment horizontal="right" indent="1"/>
    </xf>
    <xf numFmtId="0" fontId="5" fillId="11" borderId="15" xfId="13" quotePrefix="1" applyFont="1" applyAlignment="1">
      <alignment horizontal="left" indent="1"/>
    </xf>
    <xf numFmtId="0" fontId="5" fillId="14" borderId="15" xfId="11" applyFont="1" applyAlignment="1"/>
    <xf numFmtId="4" fontId="5" fillId="0" borderId="15" xfId="16" applyNumberFormat="1" applyFont="1" applyAlignment="1">
      <alignment horizontal="right" indent="1"/>
    </xf>
    <xf numFmtId="166" fontId="5" fillId="0" borderId="15" xfId="16" applyNumberFormat="1" applyFont="1" applyAlignment="1">
      <alignment horizontal="right" indent="1"/>
    </xf>
    <xf numFmtId="0" fontId="9" fillId="0" borderId="0" xfId="0" applyFont="1" applyBorder="1" applyAlignment="1"/>
    <xf numFmtId="0" fontId="5" fillId="11" borderId="15" xfId="13" applyFont="1"/>
    <xf numFmtId="170" fontId="5" fillId="0" borderId="15" xfId="16" applyNumberFormat="1" applyFont="1" applyAlignment="1">
      <alignment horizontal="right" indent="1"/>
    </xf>
    <xf numFmtId="164" fontId="5" fillId="0" borderId="15" xfId="16" applyNumberFormat="1" applyFont="1" applyAlignment="1">
      <alignment horizontal="right" indent="1"/>
    </xf>
    <xf numFmtId="168" fontId="5" fillId="0" borderId="15" xfId="16" applyNumberFormat="1" applyFont="1" applyAlignment="1">
      <alignment horizontal="right" indent="1"/>
    </xf>
    <xf numFmtId="0" fontId="5" fillId="14" borderId="15" xfId="11" applyFont="1" applyBorder="1" applyAlignment="1">
      <alignment horizontal="left" indent="1"/>
    </xf>
    <xf numFmtId="0" fontId="5" fillId="0" borderId="15" xfId="0" applyFont="1" applyBorder="1" applyAlignment="1">
      <alignment horizontal="left" indent="1"/>
    </xf>
    <xf numFmtId="169" fontId="5" fillId="0" borderId="15" xfId="16" applyNumberFormat="1" applyFont="1" applyBorder="1" applyAlignment="1">
      <alignment horizontal="right" indent="1"/>
    </xf>
    <xf numFmtId="0" fontId="5" fillId="11" borderId="15" xfId="13" applyFont="1" applyBorder="1" applyAlignment="1">
      <alignment horizontal="right" indent="1"/>
    </xf>
    <xf numFmtId="0" fontId="5" fillId="11" borderId="15" xfId="13" applyFont="1" applyBorder="1" applyAlignment="1">
      <alignment horizontal="left" indent="1"/>
    </xf>
    <xf numFmtId="0" fontId="5" fillId="14" borderId="15" xfId="11" applyFont="1" applyBorder="1" applyAlignment="1">
      <alignment horizontal="left" indent="2"/>
    </xf>
    <xf numFmtId="0" fontId="5" fillId="14" borderId="15" xfId="11" applyFont="1" applyBorder="1" applyAlignment="1">
      <alignment horizontal="left" indent="3"/>
    </xf>
    <xf numFmtId="169" fontId="5" fillId="11" borderId="15" xfId="13" applyNumberFormat="1" applyFont="1" applyBorder="1" applyAlignment="1">
      <alignment horizontal="right" indent="1"/>
    </xf>
    <xf numFmtId="0" fontId="5" fillId="14" borderId="15" xfId="11" applyFont="1" applyBorder="1" applyAlignment="1">
      <alignment horizontal="left" indent="4"/>
    </xf>
    <xf numFmtId="166" fontId="5" fillId="0" borderId="0" xfId="0" applyNumberFormat="1" applyFont="1"/>
    <xf numFmtId="165" fontId="5" fillId="0" borderId="15" xfId="16" applyNumberFormat="1" applyFont="1" applyBorder="1" applyAlignment="1">
      <alignment horizontal="right" indent="1"/>
    </xf>
    <xf numFmtId="0" fontId="5" fillId="11" borderId="3" xfId="13" applyFont="1" applyBorder="1" applyAlignment="1"/>
    <xf numFmtId="166" fontId="5" fillId="0" borderId="5" xfId="16" applyFont="1" applyBorder="1" applyAlignment="1">
      <alignment horizontal="left" vertical="center" indent="1"/>
    </xf>
    <xf numFmtId="166" fontId="5" fillId="0" borderId="1" xfId="16" applyFont="1" applyBorder="1" applyAlignment="1">
      <alignment horizontal="left" indent="1"/>
    </xf>
    <xf numFmtId="170" fontId="5" fillId="0" borderId="15" xfId="16" applyNumberFormat="1" applyFont="1" applyBorder="1" applyAlignment="1">
      <alignment horizontal="right" indent="1"/>
    </xf>
    <xf numFmtId="166" fontId="5" fillId="0" borderId="15" xfId="16" applyFont="1" applyBorder="1" applyAlignment="1">
      <alignment horizontal="left" vertical="center" indent="1"/>
    </xf>
    <xf numFmtId="167" fontId="5" fillId="0" borderId="0" xfId="0" applyNumberFormat="1" applyFont="1"/>
    <xf numFmtId="0" fontId="5" fillId="14" borderId="15" xfId="11" applyFont="1" applyAlignment="1">
      <alignment horizontal="center"/>
    </xf>
    <xf numFmtId="167" fontId="5" fillId="0" borderId="15" xfId="16" applyNumberFormat="1" applyFont="1" applyAlignment="1">
      <alignment horizontal="right" indent="1"/>
    </xf>
    <xf numFmtId="166" fontId="5" fillId="0" borderId="3" xfId="16" applyFont="1" applyBorder="1" applyAlignment="1">
      <alignment horizontal="left" indent="1"/>
    </xf>
    <xf numFmtId="167" fontId="5" fillId="0" borderId="15" xfId="16" applyNumberFormat="1" applyFont="1" applyBorder="1" applyAlignment="1">
      <alignment horizontal="right" indent="1"/>
    </xf>
    <xf numFmtId="167" fontId="5" fillId="11" borderId="15" xfId="13" applyNumberFormat="1" applyFont="1" applyAlignment="1">
      <alignment horizontal="right" indent="1"/>
    </xf>
    <xf numFmtId="166" fontId="5" fillId="0" borderId="0" xfId="16" applyFont="1" applyBorder="1" applyAlignment="1">
      <alignment horizontal="left" indent="1"/>
    </xf>
    <xf numFmtId="0" fontId="5" fillId="11" borderId="5" xfId="13" applyFont="1" applyBorder="1" applyAlignment="1"/>
    <xf numFmtId="0" fontId="5" fillId="11" borderId="7" xfId="13" applyFont="1" applyBorder="1" applyAlignment="1"/>
    <xf numFmtId="0" fontId="5" fillId="14" borderId="15" xfId="11" applyFont="1" applyAlignment="1">
      <alignment horizontal="center" vertical="center"/>
    </xf>
    <xf numFmtId="165" fontId="5" fillId="0" borderId="15" xfId="16" applyNumberFormat="1" applyFont="1" applyAlignment="1">
      <alignment horizontal="right" indent="1"/>
    </xf>
    <xf numFmtId="4" fontId="5" fillId="0" borderId="0" xfId="16" applyNumberFormat="1" applyFont="1" applyBorder="1" applyAlignment="1">
      <alignment horizontal="right" indent="1"/>
    </xf>
    <xf numFmtId="0" fontId="5" fillId="11" borderId="2" xfId="13" applyFont="1" applyBorder="1" applyAlignment="1"/>
    <xf numFmtId="1" fontId="5" fillId="0" borderId="15" xfId="16" applyNumberFormat="1" applyFont="1" applyAlignment="1">
      <alignment horizontal="left" indent="1"/>
    </xf>
    <xf numFmtId="166" fontId="5" fillId="0" borderId="15" xfId="16" applyFont="1" applyAlignment="1">
      <alignment horizontal="right" indent="1"/>
    </xf>
    <xf numFmtId="0" fontId="5" fillId="14" borderId="15" xfId="11" applyFont="1" applyAlignment="1">
      <alignment horizontal="left"/>
    </xf>
    <xf numFmtId="3" fontId="5" fillId="0" borderId="15" xfId="16" applyNumberFormat="1" applyFont="1" applyAlignment="1">
      <alignment horizontal="right" indent="1"/>
    </xf>
    <xf numFmtId="3" fontId="5" fillId="0" borderId="15" xfId="16" applyNumberFormat="1" applyFont="1" applyAlignment="1">
      <alignment horizontal="left" indent="1"/>
    </xf>
    <xf numFmtId="4" fontId="5" fillId="0" borderId="15" xfId="16" applyNumberFormat="1" applyFont="1"/>
    <xf numFmtId="0" fontId="5" fillId="0" borderId="15" xfId="11" applyFont="1" applyFill="1" applyAlignment="1">
      <alignment horizontal="left" indent="1"/>
    </xf>
    <xf numFmtId="169" fontId="5" fillId="0" borderId="15" xfId="16" applyNumberFormat="1" applyFont="1" applyAlignment="1">
      <alignment horizontal="right" indent="1"/>
    </xf>
    <xf numFmtId="2" fontId="5" fillId="0" borderId="15" xfId="16" applyNumberFormat="1" applyFont="1" applyAlignment="1">
      <alignment horizontal="right" indent="1"/>
    </xf>
    <xf numFmtId="2" fontId="5" fillId="0" borderId="15" xfId="16" applyNumberFormat="1" applyFont="1" applyBorder="1" applyAlignment="1">
      <alignment horizontal="right" indent="1"/>
    </xf>
    <xf numFmtId="0" fontId="5" fillId="13" borderId="15" xfId="0" applyFont="1" applyFill="1" applyBorder="1" applyAlignment="1">
      <alignment horizontal="left" indent="1"/>
    </xf>
    <xf numFmtId="0" fontId="5" fillId="14" borderId="15" xfId="11" applyBorder="1" applyAlignment="1" applyProtection="1"/>
    <xf numFmtId="0" fontId="5" fillId="0" borderId="15" xfId="12" applyProtection="1">
      <alignment horizontal="center"/>
    </xf>
    <xf numFmtId="1" fontId="1" fillId="2" borderId="15" xfId="1" applyNumberFormat="1" applyBorder="1" applyAlignment="1" applyProtection="1">
      <alignment vertical="center"/>
      <protection locked="0"/>
    </xf>
    <xf numFmtId="0" fontId="5" fillId="11" borderId="26" xfId="0" applyFont="1" applyFill="1" applyBorder="1" applyProtection="1"/>
    <xf numFmtId="0" fontId="5" fillId="14" borderId="26" xfId="11" applyFont="1" applyBorder="1" applyAlignment="1" applyProtection="1">
      <alignment horizontal="center"/>
    </xf>
    <xf numFmtId="0" fontId="5" fillId="14" borderId="26" xfId="11" applyFont="1" applyBorder="1" applyAlignment="1" applyProtection="1"/>
    <xf numFmtId="0" fontId="5" fillId="14" borderId="7" xfId="11" applyFont="1" applyBorder="1" applyProtection="1"/>
    <xf numFmtId="0" fontId="5" fillId="0" borderId="7" xfId="12" applyFont="1" applyBorder="1" applyAlignment="1" applyProtection="1">
      <alignment horizontal="center"/>
    </xf>
    <xf numFmtId="0" fontId="5" fillId="0" borderId="7" xfId="12" applyFont="1" applyBorder="1" applyProtection="1">
      <alignment horizontal="center"/>
    </xf>
    <xf numFmtId="0" fontId="5" fillId="14" borderId="15" xfId="11" applyFont="1" applyProtection="1"/>
    <xf numFmtId="0" fontId="5" fillId="0" borderId="15" xfId="12" applyFont="1" applyAlignment="1" applyProtection="1">
      <alignment horizontal="center"/>
    </xf>
    <xf numFmtId="0" fontId="5" fillId="0" borderId="15" xfId="12" applyFont="1" applyProtection="1">
      <alignment horizontal="center"/>
    </xf>
    <xf numFmtId="0" fontId="5" fillId="14" borderId="26" xfId="11" applyFont="1" applyBorder="1" applyProtection="1"/>
    <xf numFmtId="0" fontId="5" fillId="11" borderId="26" xfId="0" applyFont="1" applyFill="1" applyBorder="1" applyAlignment="1" applyProtection="1">
      <alignment horizontal="left"/>
    </xf>
    <xf numFmtId="164" fontId="5" fillId="0" borderId="0" xfId="0" applyNumberFormat="1" applyFont="1" applyProtection="1"/>
    <xf numFmtId="167" fontId="9" fillId="6" borderId="3" xfId="14" applyNumberFormat="1" applyFont="1" applyFill="1" applyBorder="1" applyAlignment="1" applyProtection="1">
      <alignment horizontal="right" indent="1"/>
    </xf>
    <xf numFmtId="0" fontId="9" fillId="0" borderId="0" xfId="0" applyFont="1" applyProtection="1"/>
    <xf numFmtId="167" fontId="9" fillId="0" borderId="0" xfId="0" applyNumberFormat="1" applyFont="1" applyProtection="1"/>
    <xf numFmtId="0" fontId="9" fillId="13" borderId="0" xfId="0" applyFont="1" applyFill="1" applyProtection="1"/>
    <xf numFmtId="167" fontId="9" fillId="13" borderId="0" xfId="0" applyNumberFormat="1" applyFont="1" applyFill="1" applyProtection="1"/>
    <xf numFmtId="2" fontId="5" fillId="0" borderId="0" xfId="0" applyNumberFormat="1" applyFont="1" applyProtection="1"/>
    <xf numFmtId="0" fontId="5" fillId="0" borderId="0" xfId="0" applyFont="1" applyAlignment="1" applyProtection="1"/>
    <xf numFmtId="0" fontId="20" fillId="0" borderId="0" xfId="0" applyFont="1" applyAlignment="1" applyProtection="1">
      <alignment horizontal="left" indent="2"/>
    </xf>
    <xf numFmtId="4" fontId="1" fillId="2" borderId="15" xfId="1" applyNumberFormat="1" applyFont="1" applyAlignment="1" applyProtection="1">
      <alignment vertical="center"/>
      <protection locked="0"/>
    </xf>
    <xf numFmtId="49" fontId="5" fillId="0" borderId="0" xfId="0" applyNumberFormat="1" applyFont="1" applyProtection="1"/>
    <xf numFmtId="3" fontId="1" fillId="2" borderId="15" xfId="1" applyNumberFormat="1" applyBorder="1" applyAlignment="1" applyProtection="1">
      <alignment vertical="center"/>
      <protection locked="0"/>
    </xf>
    <xf numFmtId="4" fontId="9" fillId="6" borderId="3" xfId="10" applyNumberFormat="1" applyFont="1" applyBorder="1" applyProtection="1">
      <alignment vertical="center" wrapText="1"/>
    </xf>
    <xf numFmtId="4" fontId="1" fillId="12" borderId="3" xfId="5" applyNumberFormat="1" applyFont="1" applyBorder="1" applyAlignment="1" applyProtection="1"/>
    <xf numFmtId="4" fontId="14" fillId="0" borderId="0" xfId="0" applyNumberFormat="1" applyFont="1" applyFill="1" applyBorder="1" applyAlignment="1" applyProtection="1">
      <alignment horizontal="left" indent="1"/>
      <protection hidden="1"/>
    </xf>
    <xf numFmtId="4" fontId="5" fillId="0" borderId="0" xfId="0" applyNumberFormat="1" applyFont="1" applyFill="1" applyBorder="1" applyAlignment="1" applyProtection="1">
      <alignment horizontal="left"/>
      <protection hidden="1"/>
    </xf>
    <xf numFmtId="4" fontId="5" fillId="0" borderId="0" xfId="0" applyNumberFormat="1" applyFont="1" applyProtection="1">
      <protection hidden="1"/>
    </xf>
    <xf numFmtId="4" fontId="5" fillId="0" borderId="0" xfId="0" applyNumberFormat="1" applyFont="1" applyFill="1" applyBorder="1" applyProtection="1">
      <protection hidden="1"/>
    </xf>
    <xf numFmtId="4" fontId="5" fillId="0" borderId="0" xfId="0" applyNumberFormat="1" applyFont="1" applyBorder="1" applyAlignment="1" applyProtection="1">
      <alignment horizontal="left" indent="1"/>
      <protection hidden="1"/>
    </xf>
    <xf numFmtId="4" fontId="14" fillId="0" borderId="0" xfId="0" applyNumberFormat="1" applyFont="1" applyFill="1" applyBorder="1" applyAlignment="1" applyProtection="1">
      <protection hidden="1"/>
    </xf>
    <xf numFmtId="4" fontId="5" fillId="6" borderId="3" xfId="10" applyNumberFormat="1" applyFont="1" applyBorder="1" applyProtection="1">
      <alignment vertical="center" wrapText="1"/>
    </xf>
    <xf numFmtId="4" fontId="5" fillId="0" borderId="0" xfId="0" applyNumberFormat="1" applyFont="1" applyBorder="1" applyProtection="1">
      <protection hidden="1"/>
    </xf>
    <xf numFmtId="4" fontId="5" fillId="0" borderId="0" xfId="0" applyNumberFormat="1" applyFont="1" applyFill="1" applyBorder="1" applyAlignment="1" applyProtection="1">
      <protection hidden="1"/>
    </xf>
    <xf numFmtId="4" fontId="1" fillId="12" borderId="3" xfId="5" applyNumberFormat="1" applyFont="1" applyBorder="1" applyAlignment="1"/>
    <xf numFmtId="4" fontId="5" fillId="0" borderId="0" xfId="0" applyNumberFormat="1" applyFont="1"/>
    <xf numFmtId="4" fontId="9" fillId="6" borderId="3" xfId="10" applyNumberFormat="1" applyFont="1" applyBorder="1">
      <alignment vertical="center" wrapText="1"/>
    </xf>
    <xf numFmtId="4" fontId="5" fillId="6" borderId="3" xfId="10" applyNumberFormat="1" applyFont="1" applyBorder="1">
      <alignment vertical="center" wrapText="1"/>
    </xf>
    <xf numFmtId="0" fontId="5" fillId="0" borderId="0" xfId="0" applyFont="1" applyAlignment="1">
      <alignment horizontal="left" indent="1"/>
    </xf>
    <xf numFmtId="14" fontId="5" fillId="7" borderId="15" xfId="9" applyNumberFormat="1" applyFont="1" applyBorder="1" applyAlignment="1" applyProtection="1">
      <alignment horizontal="center"/>
      <protection locked="0"/>
    </xf>
    <xf numFmtId="49" fontId="5" fillId="7" borderId="15" xfId="9" applyNumberFormat="1" applyFont="1" applyBorder="1" applyAlignment="1" applyProtection="1">
      <alignment horizontal="center"/>
      <protection locked="0"/>
    </xf>
    <xf numFmtId="0" fontId="9" fillId="0" borderId="15" xfId="0" applyFont="1" applyBorder="1" applyAlignment="1">
      <alignment horizontal="center"/>
    </xf>
    <xf numFmtId="0" fontId="1" fillId="12" borderId="15" xfId="5" applyFont="1" applyAlignment="1">
      <alignment horizontal="left" vertical="center" wrapText="1"/>
    </xf>
    <xf numFmtId="0" fontId="5" fillId="6" borderId="5" xfId="10" applyFont="1" applyBorder="1" applyAlignment="1">
      <alignment horizontal="left" vertical="center" wrapText="1"/>
    </xf>
    <xf numFmtId="0" fontId="5" fillId="6" borderId="15" xfId="10" applyFont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1" fillId="3" borderId="15" xfId="2" applyFont="1" applyAlignment="1">
      <alignment horizontal="left" vertical="center" wrapText="1"/>
    </xf>
    <xf numFmtId="0" fontId="9" fillId="4" borderId="1" xfId="3" applyFont="1" applyBorder="1" applyAlignment="1">
      <alignment horizontal="left" vertical="center" wrapText="1"/>
    </xf>
    <xf numFmtId="0" fontId="9" fillId="4" borderId="2" xfId="3" applyFont="1" applyBorder="1" applyAlignment="1">
      <alignment horizontal="left" vertical="center" wrapText="1"/>
    </xf>
    <xf numFmtId="0" fontId="9" fillId="4" borderId="3" xfId="3" applyFont="1" applyBorder="1" applyAlignment="1">
      <alignment horizontal="left" vertical="center" wrapText="1"/>
    </xf>
    <xf numFmtId="0" fontId="1" fillId="5" borderId="15" xfId="4" applyFont="1" applyAlignment="1">
      <alignment horizontal="left" vertical="center" wrapText="1"/>
    </xf>
    <xf numFmtId="0" fontId="9" fillId="14" borderId="2" xfId="11" applyFont="1" applyBorder="1" applyAlignment="1"/>
    <xf numFmtId="0" fontId="9" fillId="14" borderId="3" xfId="11" applyFont="1" applyBorder="1" applyAlignment="1"/>
    <xf numFmtId="0" fontId="12" fillId="6" borderId="2" xfId="0" applyFont="1" applyFill="1" applyBorder="1" applyAlignment="1" applyProtection="1">
      <alignment vertical="center"/>
      <protection hidden="1"/>
    </xf>
    <xf numFmtId="0" fontId="12" fillId="6" borderId="3" xfId="0" applyFont="1" applyFill="1" applyBorder="1" applyAlignment="1" applyProtection="1">
      <alignment vertical="center"/>
      <protection hidden="1"/>
    </xf>
    <xf numFmtId="0" fontId="12" fillId="0" borderId="6" xfId="0" applyFont="1" applyFill="1" applyBorder="1" applyAlignment="1" applyProtection="1">
      <alignment vertical="center"/>
      <protection hidden="1"/>
    </xf>
    <xf numFmtId="4" fontId="12" fillId="0" borderId="6" xfId="0" applyNumberFormat="1" applyFont="1" applyFill="1" applyBorder="1" applyAlignment="1" applyProtection="1">
      <alignment vertical="center"/>
      <protection hidden="1"/>
    </xf>
    <xf numFmtId="4" fontId="1" fillId="12" borderId="1" xfId="5" applyNumberFormat="1" applyFont="1" applyBorder="1" applyAlignment="1" applyProtection="1">
      <alignment vertical="center"/>
    </xf>
    <xf numFmtId="4" fontId="1" fillId="12" borderId="2" xfId="5" applyNumberFormat="1" applyFont="1" applyBorder="1" applyAlignment="1" applyProtection="1">
      <alignment vertical="center"/>
    </xf>
    <xf numFmtId="4" fontId="9" fillId="6" borderId="1" xfId="10" applyNumberFormat="1" applyFont="1" applyBorder="1" applyAlignment="1" applyProtection="1">
      <alignment vertical="center" wrapText="1"/>
    </xf>
    <xf numFmtId="4" fontId="9" fillId="6" borderId="2" xfId="10" applyNumberFormat="1" applyFont="1" applyBorder="1" applyAlignment="1" applyProtection="1">
      <alignment vertical="center" wrapText="1"/>
    </xf>
    <xf numFmtId="0" fontId="5" fillId="14" borderId="21" xfId="11" applyFont="1" applyBorder="1" applyAlignment="1" applyProtection="1">
      <alignment horizontal="center" vertical="center"/>
    </xf>
    <xf numFmtId="0" fontId="5" fillId="14" borderId="25" xfId="11" applyFont="1" applyBorder="1" applyAlignment="1" applyProtection="1">
      <alignment horizontal="center" vertical="center"/>
    </xf>
    <xf numFmtId="0" fontId="5" fillId="14" borderId="22" xfId="11" applyFont="1" applyBorder="1" applyAlignment="1" applyProtection="1">
      <alignment horizontal="center" vertical="center"/>
    </xf>
    <xf numFmtId="4" fontId="5" fillId="6" borderId="1" xfId="10" applyNumberFormat="1" applyFont="1" applyBorder="1" applyAlignment="1" applyProtection="1">
      <alignment vertical="center" wrapText="1"/>
    </xf>
    <xf numFmtId="4" fontId="5" fillId="6" borderId="2" xfId="10" applyNumberFormat="1" applyFont="1" applyBorder="1" applyAlignment="1" applyProtection="1">
      <alignment vertical="center" wrapText="1"/>
    </xf>
    <xf numFmtId="0" fontId="1" fillId="0" borderId="0" xfId="0" applyFont="1" applyFill="1" applyBorder="1" applyAlignment="1" applyProtection="1">
      <alignment vertical="center"/>
      <protection hidden="1"/>
    </xf>
    <xf numFmtId="0" fontId="9" fillId="14" borderId="2" xfId="11" applyFont="1" applyBorder="1" applyAlignment="1" applyProtection="1"/>
    <xf numFmtId="0" fontId="9" fillId="14" borderId="3" xfId="11" applyFont="1" applyBorder="1" applyAlignment="1" applyProtection="1"/>
    <xf numFmtId="0" fontId="5" fillId="14" borderId="33" xfId="11" applyFont="1" applyBorder="1" applyAlignment="1" applyProtection="1">
      <alignment horizontal="center"/>
    </xf>
    <xf numFmtId="0" fontId="5" fillId="14" borderId="37" xfId="11" applyFont="1" applyBorder="1" applyAlignment="1" applyProtection="1">
      <alignment horizontal="center"/>
    </xf>
    <xf numFmtId="0" fontId="5" fillId="14" borderId="40" xfId="11" applyFont="1" applyBorder="1" applyAlignment="1" applyProtection="1">
      <alignment horizontal="center"/>
    </xf>
    <xf numFmtId="0" fontId="1" fillId="3" borderId="5" xfId="2" applyFont="1" applyBorder="1" applyAlignment="1" applyProtection="1">
      <alignment horizontal="center" vertical="center"/>
    </xf>
    <xf numFmtId="0" fontId="1" fillId="3" borderId="27" xfId="2" applyFont="1" applyBorder="1" applyAlignment="1" applyProtection="1">
      <alignment horizontal="center" vertical="center"/>
    </xf>
    <xf numFmtId="0" fontId="1" fillId="3" borderId="7" xfId="2" applyFont="1" applyBorder="1" applyAlignment="1" applyProtection="1">
      <alignment horizontal="center" vertical="center"/>
    </xf>
    <xf numFmtId="0" fontId="1" fillId="3" borderId="5" xfId="2" applyFont="1" applyBorder="1" applyAlignment="1" applyProtection="1">
      <alignment horizontal="center" vertical="center" wrapText="1"/>
    </xf>
    <xf numFmtId="0" fontId="1" fillId="3" borderId="27" xfId="2" applyFont="1" applyBorder="1" applyAlignment="1" applyProtection="1">
      <alignment horizontal="center" vertical="center" wrapText="1"/>
    </xf>
    <xf numFmtId="0" fontId="1" fillId="3" borderId="7" xfId="2" applyFont="1" applyBorder="1" applyAlignment="1" applyProtection="1">
      <alignment horizontal="center" vertical="center" wrapText="1"/>
    </xf>
    <xf numFmtId="0" fontId="5" fillId="0" borderId="6" xfId="0" applyFont="1" applyBorder="1" applyAlignment="1" applyProtection="1">
      <alignment horizontal="left"/>
      <protection hidden="1"/>
    </xf>
    <xf numFmtId="0" fontId="1" fillId="12" borderId="16" xfId="5" applyFont="1" applyBorder="1" applyAlignment="1" applyProtection="1">
      <alignment horizontal="center" vertical="center" wrapText="1"/>
    </xf>
    <xf numFmtId="0" fontId="1" fillId="12" borderId="14" xfId="5" applyFont="1" applyBorder="1" applyAlignment="1" applyProtection="1">
      <alignment horizontal="center" vertical="center" wrapText="1"/>
    </xf>
    <xf numFmtId="0" fontId="1" fillId="12" borderId="11" xfId="5" applyFont="1" applyBorder="1" applyAlignment="1" applyProtection="1">
      <alignment horizontal="center" vertical="center" wrapText="1"/>
    </xf>
    <xf numFmtId="0" fontId="1" fillId="12" borderId="12" xfId="5" applyFont="1" applyBorder="1" applyAlignment="1" applyProtection="1">
      <alignment horizontal="center" vertical="center" wrapText="1"/>
    </xf>
    <xf numFmtId="0" fontId="5" fillId="0" borderId="6" xfId="0" applyFont="1" applyBorder="1" applyAlignment="1" applyProtection="1">
      <protection hidden="1"/>
    </xf>
    <xf numFmtId="0" fontId="5" fillId="14" borderId="21" xfId="11" applyFont="1" applyBorder="1" applyAlignment="1" applyProtection="1">
      <alignment horizontal="center" vertical="center" wrapText="1"/>
    </xf>
    <xf numFmtId="0" fontId="5" fillId="14" borderId="19" xfId="11" applyFont="1" applyBorder="1" applyAlignment="1" applyProtection="1">
      <alignment horizontal="center" vertical="center" wrapText="1"/>
    </xf>
    <xf numFmtId="0" fontId="1" fillId="12" borderId="22" xfId="5" applyFont="1" applyBorder="1" applyAlignment="1" applyProtection="1">
      <alignment horizontal="center" vertical="center" wrapText="1"/>
    </xf>
    <xf numFmtId="0" fontId="1" fillId="12" borderId="20" xfId="5" applyFont="1" applyBorder="1" applyAlignment="1" applyProtection="1">
      <alignment horizontal="center" vertical="center"/>
    </xf>
    <xf numFmtId="0" fontId="5" fillId="14" borderId="11" xfId="11" applyFont="1" applyBorder="1" applyAlignment="1" applyProtection="1">
      <alignment horizontal="center" vertical="center"/>
    </xf>
    <xf numFmtId="0" fontId="5" fillId="14" borderId="6" xfId="11" applyFont="1" applyBorder="1" applyAlignment="1" applyProtection="1">
      <alignment horizontal="center" vertical="center"/>
    </xf>
    <xf numFmtId="0" fontId="5" fillId="14" borderId="12" xfId="11" applyFont="1" applyBorder="1" applyAlignment="1" applyProtection="1">
      <alignment horizontal="center" vertical="center"/>
    </xf>
    <xf numFmtId="0" fontId="9" fillId="14" borderId="2" xfId="11" applyFont="1" applyBorder="1" applyAlignment="1" applyProtection="1">
      <protection locked="0"/>
    </xf>
    <xf numFmtId="0" fontId="9" fillId="14" borderId="3" xfId="11" applyFont="1" applyBorder="1" applyAlignment="1" applyProtection="1">
      <protection locked="0"/>
    </xf>
    <xf numFmtId="0" fontId="5" fillId="14" borderId="21" xfId="11" applyFont="1" applyBorder="1" applyAlignment="1" applyProtection="1">
      <alignment horizontal="center"/>
    </xf>
    <xf numFmtId="0" fontId="5" fillId="14" borderId="25" xfId="11" applyFont="1" applyBorder="1" applyAlignment="1" applyProtection="1">
      <alignment horizontal="center"/>
    </xf>
    <xf numFmtId="0" fontId="5" fillId="14" borderId="35" xfId="11" applyFont="1" applyBorder="1" applyAlignment="1" applyProtection="1">
      <alignment horizontal="center"/>
    </xf>
    <xf numFmtId="0" fontId="5" fillId="14" borderId="22" xfId="11" applyFont="1" applyBorder="1" applyAlignment="1" applyProtection="1">
      <alignment horizontal="center"/>
    </xf>
    <xf numFmtId="0" fontId="1" fillId="12" borderId="22" xfId="5" applyBorder="1" applyAlignment="1" applyProtection="1">
      <alignment horizontal="center" vertical="center" wrapText="1"/>
    </xf>
    <xf numFmtId="0" fontId="1" fillId="12" borderId="20" xfId="5" applyBorder="1" applyAlignment="1" applyProtection="1">
      <alignment horizontal="center" vertical="center" wrapText="1"/>
    </xf>
    <xf numFmtId="0" fontId="5" fillId="0" borderId="6" xfId="0" applyFont="1" applyBorder="1" applyAlignment="1">
      <alignment horizontal="left"/>
    </xf>
    <xf numFmtId="0" fontId="5" fillId="14" borderId="5" xfId="11" applyFont="1" applyBorder="1" applyAlignment="1">
      <alignment horizontal="center" vertical="center"/>
    </xf>
    <xf numFmtId="0" fontId="5" fillId="14" borderId="7" xfId="11" applyFont="1" applyBorder="1" applyAlignment="1">
      <alignment horizontal="center" vertical="center"/>
    </xf>
    <xf numFmtId="0" fontId="5" fillId="14" borderId="1" xfId="11" applyFont="1" applyBorder="1" applyAlignment="1">
      <alignment horizontal="center"/>
    </xf>
    <xf numFmtId="0" fontId="5" fillId="14" borderId="2" xfId="11" applyFont="1" applyBorder="1" applyAlignment="1">
      <alignment horizontal="center"/>
    </xf>
    <xf numFmtId="0" fontId="5" fillId="14" borderId="3" xfId="11" applyFont="1" applyBorder="1" applyAlignment="1">
      <alignment horizontal="center"/>
    </xf>
    <xf numFmtId="0" fontId="5" fillId="14" borderId="15" xfId="11" applyFont="1" applyAlignment="1">
      <alignment horizontal="center"/>
    </xf>
    <xf numFmtId="0" fontId="5" fillId="14" borderId="1" xfId="11" applyFont="1" applyBorder="1" applyAlignment="1">
      <alignment horizontal="center" vertical="center"/>
    </xf>
    <xf numFmtId="0" fontId="5" fillId="14" borderId="2" xfId="11" applyFont="1" applyBorder="1" applyAlignment="1">
      <alignment horizontal="center" vertical="center"/>
    </xf>
    <xf numFmtId="0" fontId="5" fillId="14" borderId="3" xfId="11" applyFont="1" applyBorder="1" applyAlignment="1">
      <alignment horizontal="center" vertical="center"/>
    </xf>
    <xf numFmtId="0" fontId="12" fillId="4" borderId="15" xfId="3" applyFont="1">
      <alignment horizontal="left"/>
    </xf>
    <xf numFmtId="0" fontId="12" fillId="5" borderId="15" xfId="4" applyFont="1">
      <alignment horizontal="left" vertical="center"/>
    </xf>
    <xf numFmtId="0" fontId="12" fillId="12" borderId="15" xfId="5" applyFont="1">
      <alignment horizontal="left"/>
    </xf>
    <xf numFmtId="0" fontId="5" fillId="0" borderId="0" xfId="0" applyFont="1" applyBorder="1" applyAlignment="1">
      <alignment horizontal="left"/>
    </xf>
    <xf numFmtId="0" fontId="5" fillId="14" borderId="1" xfId="11" applyFont="1" applyBorder="1" applyAlignment="1">
      <alignment horizontal="left"/>
    </xf>
    <xf numFmtId="0" fontId="5" fillId="14" borderId="2" xfId="11" applyFont="1" applyBorder="1" applyAlignment="1">
      <alignment horizontal="left"/>
    </xf>
    <xf numFmtId="0" fontId="5" fillId="14" borderId="3" xfId="11" applyFont="1" applyBorder="1" applyAlignment="1">
      <alignment horizontal="left"/>
    </xf>
    <xf numFmtId="0" fontId="9" fillId="6" borderId="2" xfId="0" applyFont="1" applyFill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5" fillId="14" borderId="15" xfId="11" applyFont="1" applyBorder="1" applyAlignment="1">
      <alignment horizontal="center"/>
    </xf>
    <xf numFmtId="0" fontId="5" fillId="14" borderId="11" xfId="11" applyFont="1" applyBorder="1" applyAlignment="1">
      <alignment horizontal="center"/>
    </xf>
    <xf numFmtId="0" fontId="5" fillId="14" borderId="6" xfId="11" applyFont="1" applyBorder="1" applyAlignment="1">
      <alignment horizontal="center"/>
    </xf>
    <xf numFmtId="0" fontId="5" fillId="14" borderId="12" xfId="11" applyFont="1" applyBorder="1" applyAlignment="1">
      <alignment horizontal="center"/>
    </xf>
    <xf numFmtId="0" fontId="12" fillId="3" borderId="15" xfId="2" applyFont="1">
      <alignment vertical="center"/>
    </xf>
    <xf numFmtId="0" fontId="5" fillId="0" borderId="6" xfId="0" applyFont="1" applyBorder="1" applyAlignment="1"/>
    <xf numFmtId="0" fontId="9" fillId="6" borderId="2" xfId="0" applyFont="1" applyFill="1" applyBorder="1" applyAlignment="1"/>
    <xf numFmtId="0" fontId="9" fillId="6" borderId="3" xfId="0" applyFont="1" applyFill="1" applyBorder="1" applyAlignment="1"/>
    <xf numFmtId="4" fontId="5" fillId="6" borderId="1" xfId="10" applyNumberFormat="1" applyFont="1" applyBorder="1" applyAlignment="1">
      <alignment horizontal="left" wrapText="1" indent="1"/>
    </xf>
    <xf numFmtId="4" fontId="5" fillId="6" borderId="2" xfId="10" applyNumberFormat="1" applyFont="1" applyBorder="1" applyAlignment="1">
      <alignment horizontal="left" wrapText="1" indent="1"/>
    </xf>
    <xf numFmtId="4" fontId="5" fillId="6" borderId="1" xfId="10" applyNumberFormat="1" applyFont="1" applyBorder="1" applyAlignment="1">
      <alignment horizontal="left" vertical="center" wrapText="1" indent="1"/>
    </xf>
    <xf numFmtId="4" fontId="5" fillId="6" borderId="2" xfId="10" applyNumberFormat="1" applyFont="1" applyBorder="1" applyAlignment="1">
      <alignment horizontal="left" vertical="center" wrapText="1" indent="1"/>
    </xf>
    <xf numFmtId="0" fontId="13" fillId="10" borderId="1" xfId="8" applyFont="1" applyBorder="1" applyAlignment="1">
      <alignment horizontal="left" indent="1"/>
    </xf>
    <xf numFmtId="0" fontId="13" fillId="10" borderId="3" xfId="8" applyFont="1" applyBorder="1" applyAlignment="1">
      <alignment horizontal="left" indent="1"/>
    </xf>
    <xf numFmtId="1" fontId="13" fillId="10" borderId="1" xfId="8" applyNumberFormat="1" applyFont="1" applyBorder="1" applyAlignment="1">
      <alignment horizontal="left" indent="1"/>
    </xf>
    <xf numFmtId="1" fontId="13" fillId="10" borderId="3" xfId="8" applyNumberFormat="1" applyFont="1" applyBorder="1" applyAlignment="1">
      <alignment horizontal="left" indent="1"/>
    </xf>
    <xf numFmtId="0" fontId="11" fillId="9" borderId="1" xfId="7" applyFont="1" applyBorder="1" applyAlignment="1">
      <alignment horizontal="left" indent="1"/>
    </xf>
    <xf numFmtId="0" fontId="11" fillId="9" borderId="3" xfId="7" applyFont="1" applyBorder="1" applyAlignment="1">
      <alignment horizontal="left" indent="1"/>
    </xf>
    <xf numFmtId="0" fontId="12" fillId="0" borderId="6" xfId="0" applyFont="1" applyFill="1" applyBorder="1" applyAlignment="1" applyProtection="1">
      <alignment horizontal="left" vertical="center"/>
      <protection hidden="1"/>
    </xf>
    <xf numFmtId="4" fontId="1" fillId="12" borderId="1" xfId="5" applyNumberFormat="1" applyFont="1" applyBorder="1" applyAlignment="1">
      <alignment horizontal="left" vertical="center" indent="1"/>
    </xf>
    <xf numFmtId="4" fontId="1" fillId="12" borderId="2" xfId="5" applyNumberFormat="1" applyFont="1" applyBorder="1" applyAlignment="1">
      <alignment horizontal="left" vertical="center" indent="1"/>
    </xf>
    <xf numFmtId="0" fontId="5" fillId="14" borderId="21" xfId="11" applyFont="1" applyBorder="1" applyAlignment="1">
      <alignment horizontal="center" vertical="center"/>
    </xf>
    <xf numFmtId="0" fontId="5" fillId="14" borderId="25" xfId="11" applyFont="1" applyBorder="1" applyAlignment="1">
      <alignment horizontal="center" vertical="center"/>
    </xf>
    <xf numFmtId="0" fontId="5" fillId="14" borderId="22" xfId="11" applyFont="1" applyBorder="1" applyAlignment="1">
      <alignment horizontal="center" vertical="center"/>
    </xf>
    <xf numFmtId="4" fontId="9" fillId="6" borderId="1" xfId="10" applyNumberFormat="1" applyFont="1" applyBorder="1" applyAlignment="1">
      <alignment vertical="center" wrapText="1"/>
    </xf>
    <xf numFmtId="4" fontId="9" fillId="6" borderId="2" xfId="10" applyNumberFormat="1" applyFont="1" applyBorder="1" applyAlignment="1">
      <alignment vertical="center" wrapText="1"/>
    </xf>
    <xf numFmtId="0" fontId="9" fillId="13" borderId="15" xfId="0" applyFont="1" applyFill="1" applyBorder="1" applyAlignment="1">
      <alignment horizontal="center"/>
    </xf>
    <xf numFmtId="0" fontId="9" fillId="6" borderId="1" xfId="14" applyFont="1" applyFill="1" applyBorder="1" applyAlignment="1" applyProtection="1">
      <alignment horizontal="left"/>
    </xf>
    <xf numFmtId="0" fontId="9" fillId="6" borderId="2" xfId="14" applyFont="1" applyFill="1" applyBorder="1" applyAlignment="1" applyProtection="1">
      <alignment horizontal="left"/>
    </xf>
    <xf numFmtId="0" fontId="5" fillId="11" borderId="1" xfId="0" applyFont="1" applyFill="1" applyBorder="1" applyAlignment="1" applyProtection="1">
      <alignment horizontal="center"/>
    </xf>
    <xf numFmtId="0" fontId="5" fillId="11" borderId="2" xfId="0" applyFont="1" applyFill="1" applyBorder="1" applyAlignment="1" applyProtection="1">
      <alignment horizontal="center"/>
    </xf>
    <xf numFmtId="0" fontId="5" fillId="11" borderId="3" xfId="0" applyFont="1" applyFill="1" applyBorder="1" applyAlignment="1" applyProtection="1">
      <alignment horizontal="center"/>
    </xf>
    <xf numFmtId="0" fontId="5" fillId="0" borderId="6" xfId="15" applyFont="1" applyProtection="1">
      <alignment horizontal="left"/>
    </xf>
    <xf numFmtId="0" fontId="12" fillId="6" borderId="2" xfId="0" applyFont="1" applyFill="1" applyBorder="1" applyAlignment="1" applyProtection="1">
      <alignment horizontal="left" vertical="center" indent="1"/>
      <protection hidden="1"/>
    </xf>
    <xf numFmtId="0" fontId="12" fillId="6" borderId="3" xfId="0" applyFont="1" applyFill="1" applyBorder="1" applyAlignment="1" applyProtection="1">
      <alignment horizontal="left" vertical="center" indent="1"/>
      <protection hidden="1"/>
    </xf>
    <xf numFmtId="0" fontId="5" fillId="0" borderId="0" xfId="15" applyFont="1" applyBorder="1" applyProtection="1">
      <alignment horizontal="left"/>
    </xf>
    <xf numFmtId="0" fontId="5" fillId="0" borderId="0" xfId="15" applyFont="1" applyBorder="1" applyAlignment="1" applyProtection="1">
      <alignment horizontal="left"/>
    </xf>
    <xf numFmtId="14" fontId="5" fillId="0" borderId="6" xfId="15" applyNumberFormat="1" applyFont="1" applyProtection="1">
      <alignment horizontal="left"/>
    </xf>
    <xf numFmtId="49" fontId="5" fillId="11" borderId="1" xfId="0" applyNumberFormat="1" applyFont="1" applyFill="1" applyBorder="1" applyAlignment="1" applyProtection="1">
      <alignment horizontal="center"/>
    </xf>
    <xf numFmtId="49" fontId="5" fillId="11" borderId="2" xfId="0" applyNumberFormat="1" applyFont="1" applyFill="1" applyBorder="1" applyAlignment="1" applyProtection="1">
      <alignment horizontal="center"/>
    </xf>
    <xf numFmtId="49" fontId="5" fillId="11" borderId="3" xfId="0" applyNumberFormat="1" applyFont="1" applyFill="1" applyBorder="1" applyAlignment="1" applyProtection="1">
      <alignment horizontal="center"/>
    </xf>
    <xf numFmtId="0" fontId="9" fillId="6" borderId="1" xfId="14" applyFont="1" applyFill="1" applyBorder="1" applyAlignment="1" applyProtection="1"/>
    <xf numFmtId="0" fontId="9" fillId="6" borderId="2" xfId="14" applyFont="1" applyFill="1" applyBorder="1" applyAlignment="1" applyProtection="1"/>
    <xf numFmtId="0" fontId="5" fillId="0" borderId="6" xfId="15" applyFont="1" applyAlignment="1" applyProtection="1">
      <alignment horizontal="left"/>
    </xf>
    <xf numFmtId="0" fontId="5" fillId="0" borderId="6" xfId="0" applyFont="1" applyBorder="1" applyAlignment="1" applyProtection="1"/>
    <xf numFmtId="0" fontId="5" fillId="0" borderId="0" xfId="0" applyFont="1" applyBorder="1" applyAlignment="1" applyProtection="1"/>
    <xf numFmtId="0" fontId="9" fillId="6" borderId="2" xfId="0" applyFont="1" applyFill="1" applyBorder="1" applyAlignment="1" applyProtection="1">
      <alignment horizontal="left"/>
    </xf>
    <xf numFmtId="0" fontId="9" fillId="6" borderId="3" xfId="0" applyFont="1" applyFill="1" applyBorder="1" applyAlignment="1" applyProtection="1">
      <alignment horizontal="left"/>
    </xf>
    <xf numFmtId="0" fontId="5" fillId="14" borderId="15" xfId="11" applyBorder="1" applyAlignment="1" applyProtection="1">
      <alignment horizontal="center"/>
    </xf>
    <xf numFmtId="14" fontId="5" fillId="0" borderId="15" xfId="12" applyNumberFormat="1" applyProtection="1">
      <alignment horizontal="center"/>
    </xf>
    <xf numFmtId="0" fontId="18" fillId="14" borderId="1" xfId="11" applyFont="1" applyBorder="1" applyAlignment="1">
      <alignment horizontal="center"/>
    </xf>
    <xf numFmtId="0" fontId="18" fillId="14" borderId="2" xfId="11" applyFont="1" applyBorder="1" applyAlignment="1">
      <alignment horizontal="center"/>
    </xf>
    <xf numFmtId="0" fontId="18" fillId="14" borderId="3" xfId="11" applyFont="1" applyBorder="1" applyAlignment="1">
      <alignment horizontal="center"/>
    </xf>
    <xf numFmtId="0" fontId="18" fillId="14" borderId="15" xfId="11" applyFont="1" applyBorder="1" applyAlignment="1">
      <alignment horizontal="center"/>
    </xf>
  </cellXfs>
  <cellStyles count="17">
    <cellStyle name="Biomassa" xfId="5"/>
    <cellStyle name="Cabeçalho" xfId="11"/>
    <cellStyle name="Cadastro" xfId="9"/>
    <cellStyle name="Detalhes e unidade em formulário" xfId="12"/>
    <cellStyle name="Editáveis" xfId="1"/>
    <cellStyle name="Emissões líquidas e outros gases" xfId="10"/>
    <cellStyle name="Emissões por cultura" xfId="14"/>
    <cellStyle name="Entrada" xfId="8" builtinId="20"/>
    <cellStyle name="Escopo 1" xfId="2"/>
    <cellStyle name="Escopo 2" xfId="3"/>
    <cellStyle name="Escopo 3" xfId="4"/>
    <cellStyle name="Hyperlink" xfId="6" builtinId="8"/>
    <cellStyle name="Normal" xfId="0" builtinId="0"/>
    <cellStyle name="Preenchimento de espaço nas tabelas" xfId="13"/>
    <cellStyle name="Saída" xfId="7" builtinId="21"/>
    <cellStyle name="Tabela de emissões" xfId="16"/>
    <cellStyle name="Título das tabelas de formulário" xfId="15"/>
  </cellStyles>
  <dxfs count="0"/>
  <tableStyles count="0" defaultTableStyle="TableStyleMedium2" defaultPivotStyle="PivotStyleLight16"/>
  <colors>
    <mruColors>
      <color rgb="FFFCD5B4"/>
      <color rgb="FF99CCFF"/>
      <color rgb="FF769535"/>
      <color rgb="FF6699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2" Namespace="http://www.w3.org/2001/XMLSchema">
    <xs:schema xmlns:xs="http://www.w3.org/2001/XMLSchema" xmlns="" targetNamespace="http://www.w3.org/2001/XMLSchema">
      <xs:element name="GHGPROTOCOL">
        <xs:complexType>
          <xs:sequence>
            <xs:element name="Cadastro">
              <xs:complexType>
                <xs:sequence>
                  <xs:element name="cad_enderecoorganizacao" type="xs:string" nillable="true"/>
                  <xs:element name="cad_contatoresponsavel" type="xs:string" nillable="true"/>
                  <xs:element name="cad_datapreenchimento" type="xs:date" nillable="true"/>
                </xs:sequence>
              </xs:complexType>
            </xs:element>
            <xs:element name="ConsumoEnergiaElétrica">
              <xs:complexType>
                <xs:sequence>
                  <xs:element name="compraenergia_consumototal" type="xs:double" nillable="true"/>
                  <xs:element name="compraenergia_anobase" type="xs:integer" nillable="true"/>
                </xs:sequence>
              </xs:complexType>
            </xs:element>
            <xs:element name="Algodão">
              <xs:complexType>
                <xs:sequence>
                  <xs:element name="algodao_estado" type="xs:string" nillable="true"/>
                  <xs:element name="algodao_latitude" type="xs:double" nillable="true"/>
                  <xs:element name="algodao_longitude" type="xs:double" nillable="true"/>
                  <xs:element name="algodao_bioma" type="xs:string" nillable="true"/>
                  <xs:element name="algodao_dataplantio" type="xs:date" nillable="true"/>
                  <xs:element name="algodao_datacolheita" type="xs:date" nillable="true"/>
                  <xs:element name="algodao_classetexturalsolo" type="xs:string" nillable="true"/>
                  <xs:element name="algodao_teorargilasolo" type="xs:string" nillable="true"/>
                  <xs:element name="algodao_usoanteriorterra" type="xs:string" nillable="true"/>
                  <xs:element name="algodao_manejosolo" type="xs:string" nillable="true"/>
                  <xs:element name="algodao_tempoadocaosistema" type="xs:string" nillable="true"/>
                  <xs:element name="algodao_areaqueimaresiduos" type="xs:double" nillable="true"/>
                  <xs:element name="algodao_cultivosoloorganico" type="xs:double" nillable="true"/>
                  <xs:element name="algodao_areacultivada" type="xs:double" nillable="true"/>
                  <xs:element name="algodao_produtividademedia" type="xs:double" nillable="true"/>
                  <xs:element name="algodao_adubacaonitrogenadasintetica" type="xs:double" nillable="true"/>
                  <xs:element name="algodao_nadubosintetico" type="xs:double" nillable="true"/>
                  <xs:element name="algodao_ureia" type="xs:double" nillable="true"/>
                  <xs:element name="algodao_calcariocalcitico" type="xs:double" nillable="true"/>
                  <xs:element name="algodao_calcariodolomitico" type="xs:double" nillable="true"/>
                  <xs:element name="algodao_adubacaoorganicacompostoorganico" type="xs:double" nillable="true"/>
                  <xs:element name="algodao_adubacaoorganicaestercogeral" type="xs:double" nillable="true"/>
                  <xs:element name="algodao_adubacaoorganicaestercoavicola" type="xs:double" nillable="true"/>
                  <xs:element name="algodao_adubacaoorganicaoutros" type="xs:double" nillable="true"/>
                  <xs:element name="algodao_adubacaoverdeleguminosa" type="xs:double" nillable="true"/>
                  <xs:element name="algodao_adubacaoverdegraminea" type="xs:double" nillable="true"/>
                  <xs:element name="algodao_adubacaoverdeoutros" type="xs:double" nillable="true"/>
                  <xs:element name="algodao_herbicida" type="xs:double" nillable="true"/>
                  <xs:element name="algodao_inseticida" type="xs:double" nillable="true"/>
                  <xs:element name="algodao_fungicida" type="xs:double" nillable="true"/>
                  <xs:element name="algodao_tipocombustivel" type="xs:string" nillable="true"/>
                  <xs:element name="algodao_tipoconsumocombustivel" type="xs:string" nillable="true"/>
                  <xs:element name="algodao_consumodiesel" type="xs:double" nillable="true"/>
                  <xs:element name="algodao_operacaomecanizada_calagem" type="xs:string" nillable="true"/>
                  <xs:element name="algodao_operacaomecanizada_preparosolo" type="xs:string" nillable="true"/>
                  <xs:element name="algodao_operacaomecanizada_plantioadubacao" type="xs:string" nillable="true"/>
                  <xs:element name="algodao_operacaomecanizada_adubacaocobertura" type="xs:string" nillable="true"/>
                  <xs:element name="algodao_operacaomecanizada_aplicacaodefensivos" type="xs:string" nillable="true"/>
                  <xs:element name="algodao_operacaomecanizada_colheita" type="xs:string" nillable="true"/>
                  <xs:element name="algodao_operacaomecanizada_calagem_repeticoes" type="xs:double" nillable="true"/>
                  <xs:element name="algodao_operacaomecanizada_preparosolo_repeticoes" type="xs:double" nillable="true"/>
                  <xs:element name="algodao_operacaomecanizada_plantioadubacao_repeticoes" type="xs:double" nillable="true"/>
                  <xs:element name="algodao_operacaomecanizada_adubacaocobertura_repeticoes" type="xs:double" nillable="true"/>
                  <xs:element name="algodao_operacaomecanizada_aplicacaodefensivos_repeticoes" type="xs:double" nillable="true"/>
                  <xs:element name="algodao_operacaomecanizada_colheita_repeticoes" type="xs:double" nillable="true"/>
                </xs:sequence>
              </xs:complexType>
            </xs:element>
            <xs:element name="Arroz">
              <xs:complexType>
                <xs:sequence>
                  <xs:element name="arroz_estado" type="xs:string" nillable="true"/>
                  <xs:element name="arroz_latitude" type="xs:double" nillable="true"/>
                  <xs:element name="arroz_longitude" type="xs:double" nillable="true"/>
                  <xs:element name="arroz_bioma" type="xs:string" nillable="true"/>
                  <xs:element name="arroz_dataplantio" type="xs:date" nillable="true"/>
                  <xs:element name="arroz_datacolheita" type="xs:date" nillable="true"/>
                  <xs:element name="arroz_classetexturalsolo" type="xs:string" nillable="true"/>
                  <xs:element name="arroz_teorargilasolo" type="xs:string" nillable="true"/>
                  <xs:element name="arroz_usoanteriorterra" type="xs:string" nillable="true"/>
                  <xs:element name="arroz_manejosolo" type="xs:string" nillable="true"/>
                  <xs:element name="arroz_tempoadocaosistema" type="xs:string" nillable="true"/>
                  <xs:element name="arroz_preparosolo" type="xs:string" nillable="true"/>
                  <xs:element name="arroz_regimehidrico" type="xs:string" nillable="true"/>
                  <xs:element name="arroz_areaqueimaresiduos" type="xs:double" nillable="true"/>
                  <xs:element name="arroz_cultivosoloorganico" type="xs:double" nillable="true"/>
                  <xs:element name="arroz_areacultivada" type="xs:double" nillable="true"/>
                  <xs:element name="arroz_produtividademedia" type="xs:double" nillable="true"/>
                  <xs:element name="arroz_adubacaonitrogenadasintetica" type="xs:double" nillable="true"/>
                  <xs:element name="arroz_nadubosintetico" type="xs:double" nillable="true"/>
                  <xs:element name="arroz_ureia" type="xs:double" nillable="true"/>
                  <xs:element name="arroz_calcariocalcitico" type="xs:double" nillable="true"/>
                  <xs:element name="arroz_calcariodolomitico" type="xs:double" nillable="true"/>
                  <xs:element name="arroz_quantidadeaduboorganico" type="xs:string" nillable="true"/>
                  <xs:element name="arroz_materiaorganicafermentada" type="xs:string" nillable="true"/>
                  <xs:element name="arroz_adubacaoverdeleguminosa" type="xs:double" nillable="true"/>
                  <xs:element name="arroz_adubacaoverdegraminea" type="xs:double" nillable="true"/>
                  <xs:element name="arroz_adubacaoverdeoutros" type="xs:double" nillable="true"/>
                  <xs:element name="arroz_herbicida" type="xs:double" nillable="true"/>
                  <xs:element name="arroz_inseticida" type="xs:double" nillable="true"/>
                  <xs:element name="arroz_fungicida" type="xs:double" nillable="true"/>
                  <xs:element name="arroz_tipocombustivel" type="xs:string" nillable="true"/>
                  <xs:element name="arroz_tipoconsumocombustivel" type="xs:string" nillable="true"/>
                  <xs:element name="arroz_consumodiesel" type="xs:double" nillable="true"/>
                  <xs:element name="arroz_operacaomecanizada_calagem" type="xs:string" nillable="true"/>
                  <xs:element name="arroz_operacaomecanizada_gradagemaradora" type="xs:string" nillable="true"/>
                  <xs:element name="arroz_operacaomecanizada_gradagemniveladora" type="xs:string" nillable="true"/>
                  <xs:element name="arroz_operacaomecanizada_reformataipas" type="xs:string" nillable="true"/>
                  <xs:element name="arroz_operacaomecanizada_plantio" type="xs:string" nillable="true"/>
                  <xs:element name="arroz_operacaomecanizada_transporteinterno" type="xs:string" nillable="true"/>
                  <xs:element name="arroz_operacaomecanizada_adubacaocobertura" type="xs:string" nillable="true"/>
                  <xs:element name="arroz_operacaomecanizada_aplicacaodeherbicidapreemergente" type="xs:string" nillable="true"/>
                  <xs:element name="arroz_operacaomecanizada_colheita" type="xs:string" nillable="true"/>
                  <xs:element name="arroz_operacaomecanizada_calagem_repeticoes" type="xs:double" nillable="true"/>
                  <xs:element name="arroz_operacaomecanizada_gradagemaradora_repeticoes" type="xs:double" nillable="true"/>
                  <xs:element name="arroz_operacaomecanizada_gradagemniveladora_repeticoes" type="xs:double" nillable="true"/>
                  <xs:element name="arroz_operacaomecanizada_reformataipas_repeticoes" type="xs:double" nillable="true"/>
                  <xs:element name="arroz_operacaomecanizada_plantio_repeticoes" type="xs:double" nillable="true"/>
                  <xs:element name="arroz_operacaomecanizada_transporteinterno_repeticoes" type="xs:double" nillable="true"/>
                  <xs:element name="arroz_operacaomecanizada_adubacaocobertura_repeticoes" type="xs:double" nillable="true"/>
                  <xs:element name="arroz_operacaomecanizada_aplicacaodeherbicidapreemergente_repeticoes" type="xs:double" nillable="true"/>
                  <xs:element name="arroz_operacaomecanizada_colheita_repeticoes" type="xs:double" nillable="true"/>
                </xs:sequence>
              </xs:complexType>
            </xs:element>
            <xs:element name="Cana-de-açúcar">
              <xs:complexType>
                <xs:sequence>
                  <xs:element name="cana_estado" type="xs:string" nillable="true"/>
                  <xs:element name="cana_latitude" type="xs:double" nillable="true"/>
                  <xs:element name="cana_longitude" type="xs:double" nillable="true"/>
                  <xs:element name="cana_bioma" type="xs:string" nillable="true"/>
                  <xs:element name="cana_ciclocultura" type="xs:string" nillable="true"/>
                  <xs:element name="cana_datacolheita" type="xs:date" nillable="true"/>
                  <xs:element name="cana_classetexturalsolo" type="xs:string" nillable="true"/>
                  <xs:element name="cana_teorargilasolo" type="xs:string" nillable="true"/>
                  <xs:element name="cana_usoanteriorterra" type="xs:string" nillable="true"/>
                  <xs:element name="cana_manejosolo" type="xs:string" nillable="true"/>
                  <xs:element name="cana_tempoadocaosistema" type="xs:string" nillable="true"/>
                  <xs:element name="cana_areaqueimaresiduos" type="xs:double" nillable="true"/>
                  <xs:element name="cana_cultivosoloorganico" type="xs:double" nillable="true"/>
                  <xs:element name="cana_areacultivada" type="xs:double" nillable="true"/>
                  <xs:element name="cana_produtividademedia" type="xs:double" nillable="true"/>
                  <xs:element name="cana_adubacaonitrogenadasintetica" type="xs:double" nillable="true"/>
                  <xs:element name="cana_nadubosintetico" type="xs:double" nillable="true"/>
                  <xs:element name="cana_ureia" type="xs:double" nillable="true"/>
                  <xs:element name="cana_calcariocalcitico" type="xs:double" nillable="true"/>
                  <xs:element name="cana_calcariodolomitico" type="xs:double" nillable="true"/>
                  <xs:element name="cana_adubacaoorganicavinhaca" type="xs:double" nillable="true"/>
                  <xs:element name="cana_adubacaoorganicatortafiltro" type="xs:double" nillable="true"/>
                  <xs:element name="cana_areaaplicacaotortadefiltro" type="xs:double" nillable="true"/>
                  <xs:element name="cana_adubacaoorganicacompostoorganico" type="xs:double" nillable="true"/>
                  <xs:element name="cana_adubacaoorganicaestercogeral" type="xs:double" nillable="true"/>
                  <xs:element name="cana_adubacaoorganicaestercoavicola" type="xs:double" nillable="true"/>
                  <xs:element name="cana_adubacaoorganicaoutros" type="xs:double" nillable="true"/>
                  <xs:element name="cana_adubacaoverdeleguminosa" type="xs:double" nillable="true"/>
                  <xs:element name="cana_adubacaoverdegraminea" type="xs:double" nillable="true"/>
                  <xs:element name="cana_adubacaoverdeoutros" type="xs:double" nillable="true"/>
                  <xs:element name="cana_herbicida" type="xs:double" nillable="true"/>
                  <xs:element name="cana_inseticida" type="xs:double" nillable="true"/>
                  <xs:element name="cana_fungicida" type="xs:double" nillable="true"/>
                  <xs:element name="cana_tipocombustivel" type="xs:string" nillable="true"/>
                  <xs:element name="cana_tipoconsumocombustivel" type="xs:string" nillable="true"/>
                  <xs:element name="cana_consumodiesel" type="xs:double" nillable="true"/>
                  <xs:element name="cana_operacaomecanizada_terraceamento" type="xs:string" nillable="true"/>
                  <xs:element name="cana_operacaomecanizada_aracao" type="xs:string" nillable="true"/>
                  <xs:element name="cana_operacaomecanizada_gradagem" type="xs:string" nillable="true"/>
                  <xs:element name="cana_operacaomecanizada_gradagemniveladora" type="xs:string" nillable="true"/>
                  <xs:element name="cana_operacaomecanizada_calagem" type="xs:string" nillable="true"/>
                  <xs:element name="cana_operacaomecanizada_sulcacao" type="xs:string" nillable="true"/>
                  <xs:element name="cana_operacaomecanizada_cobricao" type="xs:string" nillable="true"/>
                  <xs:element name="cana_operacaomecanizada_pulverizacao" type="xs:string" nillable="true"/>
                  <xs:element name="cana_operacaomecanizada_dessecacao" type="xs:string" nillable="true"/>
                  <xs:element name="cana_operacaomecanizada_terraceamento_repeticoes" type="xs:double" nillable="true"/>
                  <xs:element name="cana_operacaomecanizada_aracao_repeticoes" type="xs:double" nillable="true"/>
                  <xs:element name="cana_operacaomecanizada_gradagem_repeticoes" type="xs:double" nillable="true"/>
                  <xs:element name="cana_operacaomecanizada_gradagemniveladora_repeticoes" type="xs:double" nillable="true"/>
                  <xs:element name="cana_operacaomecanizada_calagem_repeticoes" type="xs:double" nillable="true"/>
                  <xs:element name="cana_operacaomecanizada_sulcacao_repeticoes" type="xs:double" nillable="true"/>
                  <xs:element name="cana_operacaomecanizada_cobricao_repeticoes" type="xs:double" nillable="true"/>
                  <xs:element name="cana_operacaomecanizada_pulverizacao_repeticoes" type="xs:double" nillable="true"/>
                  <xs:element name="cana_operacaomecanizada_dessecacao_repeticoes" type="xs:double" nillable="true"/>
                </xs:sequence>
              </xs:complexType>
            </xs:element>
            <xs:element name="Feijão">
              <xs:complexType>
                <xs:sequence>
                  <xs:element name="feijao_estado" type="xs:string" nillable="true"/>
                  <xs:element name="feijao_latitude" type="xs:double" nillable="true"/>
                  <xs:element name="feijao_longitude" type="xs:double" nillable="true"/>
                  <xs:element name="feijao_bioma" type="xs:string" nillable="true"/>
                  <xs:element name="feijao_dataplantio" type="xs:date" nillable="true"/>
                  <xs:element name="feijao_datacolheita" type="xs:date" nillable="true"/>
                  <xs:element name="feijao_classetexturalsolo" type="xs:string" nillable="true"/>
                  <xs:element name="feijao_teorargilasolo" type="xs:string" nillable="true"/>
                  <xs:element name="feijao_usoanteriorterra" type="xs:string" nillable="true"/>
                  <xs:element name="feijao_manejosolo" type="xs:string" nillable="true"/>
                  <xs:element name="feijao_tempoadocaosistema" type="xs:string" nillable="true"/>
                  <xs:element name="feijao_areaqueimaresiduos" type="xs:double" nillable="true"/>
                  <xs:element name="feijao_cultivosoloorganico" type="xs:double" nillable="true"/>
                  <xs:element name="feijao_areacultivada" type="xs:double" nillable="true"/>
                  <xs:element name="feijao_produtividademedia" type="xs:double" nillable="true"/>
                  <xs:element name="feijao_adubacaonitrogenadasintetica" type="xs:double" nillable="true"/>
                  <xs:element name="feijao_nadubosintetico" type="xs:double" nillable="true"/>
                  <xs:element name="feijao_ureia" type="xs:double" nillable="true"/>
                  <xs:element name="feijao_calcariocalcitico" type="xs:double" nillable="true"/>
                  <xs:element name="feijao_calcariodolomitico" type="xs:double" nillable="true"/>
                  <xs:element name="feijao_adubacaoorganicacompostoorganico" type="xs:double" nillable="true"/>
                  <xs:element name="feijao_adubacaoorganicaestercogeral" type="xs:double" nillable="true"/>
                  <xs:element name="feijao_adubacaoorganicaestercoavicola" type="xs:double" nillable="true"/>
                  <xs:element name="feijao_adubacaoorganicaoutros" type="xs:double" nillable="true"/>
                  <xs:element name="feijao_adubacaoverdeleguminosa" type="xs:double" nillable="true"/>
                  <xs:element name="feijao_adubacaoverdegraminea" type="xs:double" nillable="true"/>
                  <xs:element name="feijao_adubacaoverdeoutros" type="xs:double" nillable="true"/>
                  <xs:element name="feijao_herbicida" type="xs:double" nillable="true"/>
                  <xs:element name="feijao_inseticida" type="xs:double" nillable="true"/>
                  <xs:element name="feijao_fungicida" type="xs:double" nillable="true"/>
                  <xs:element name="feijao_tipocombustivel" type="xs:string" nillable="true"/>
                  <xs:element name="feijao_tipoconsumocombustivel" type="xs:string" nillable="true"/>
                  <xs:element name="feijao_consumodiesel" type="xs:double" nillable="true"/>
                  <xs:element name="feijao_operacaomecanizada_calagem" type="xs:string" nillable="true"/>
                  <xs:element name="feijao_operacaomecanizada_aracao" type="xs:string" nillable="true"/>
                  <xs:element name="feijao_operacaomecanizada_gradagemniveladora" type="xs:string" nillable="true"/>
                  <xs:element name="feijao_operacaomecanizada_plantio" type="xs:string" nillable="true"/>
                  <xs:element name="feijao_operacaomecanizada_transporteinternodeinsumosparaplantio" type="xs:string" nillable="true"/>
                  <xs:element name="feijao_operacaomecanizada_adubacaodecobertura" type="xs:string" nillable="true"/>
                  <xs:element name="feijao_operacaomecanizada_herbicidaposemergente" type="xs:string" nillable="true"/>
                  <xs:element name="feijao_operacaomecanizada_aplicacaodefungicida" type="xs:string" nillable="true"/>
                  <xs:element name="feijao_operacaomecanizada_trilhacombatedeiradecereais" type="xs:string" nillable="true"/>
                  <xs:element name="feijao_operacaomecanizada_transporteinternoproducao" type="xs:string" nillable="true"/>
                  <xs:element name="feijao_operacaomecanizada_calagem_repeticoes" type="xs:double" nillable="true"/>
                  <xs:element name="feijao_operacaomecanizada_aracao_repeticoes" type="xs:double" nillable="true"/>
                  <xs:element name="feijao_operacaomecanizada_gradagemniveladora_repeticoes" type="xs:double" nillable="true"/>
                  <xs:element name="feijao_operacaomecanizada_plantio_repeticoes" type="xs:double" nillable="true"/>
                  <xs:element name="feijao_operacaomecanizada_transporteinternodeinsumosparaplantio_repeticoes" type="xs:double" nillable="true"/>
                  <xs:element name="feijao_operacaomecanizada_adubacaodecobertura_repeticoes" type="xs:double" nillable="true"/>
                  <xs:element name="feijao_operacaomecanizada_herbicidaposemergente_repeticoes" type="xs:double" nillable="true"/>
                  <xs:element name="feijao_operacaomecanizada_aplicacaodefungicida_repeticoes" type="xs:double" nillable="true"/>
                  <xs:element name="feijao_operacaomecanizada_trilhacombatedeiradecereais_repeticoes" type="xs:double" nillable="true"/>
                  <xs:element name="feijao_operacaomecanizada_transporteinternoproducao_repeticoes" type="xs:double" nillable="true"/>
                </xs:sequence>
              </xs:complexType>
            </xs:element>
            <xs:element name="Milho">
              <xs:complexType>
                <xs:sequence>
                  <xs:element name="milho_estado" type="xs:string" nillable="true"/>
                  <xs:element name="milho_latitude" type="xs:double" nillable="true"/>
                  <xs:element name="milho_longitude" type="xs:double" nillable="true"/>
                  <xs:element name="milho_bioma" type="xs:string" nillable="true"/>
                  <xs:element name="milho_dataplantio" type="xs:date" nillable="true"/>
                  <xs:element name="milho_datacolheita" type="xs:date" nillable="true"/>
                  <xs:element name="milho_classetexturalsolo" type="xs:string" nillable="true"/>
                  <xs:element name="milho_teorargilasolo" type="xs:string" nillable="true"/>
                  <xs:element name="milho_usoanteriorterra" type="xs:string" nillable="true"/>
                  <xs:element name="milho_manejosolo" type="xs:string" nillable="true"/>
                  <xs:element name="milho_tempoadocaosistema" type="xs:string" nillable="true"/>
                  <xs:element name="milho_areaqueimaresiduos" type="xs:double" nillable="true"/>
                  <xs:element name="milho_cultivosoloorganico" type="xs:double" nillable="true"/>
                  <xs:element name="milho_areacultivada" type="xs:double" nillable="true"/>
                  <xs:element name="milho_produtividademedia" type="xs:double" nillable="true"/>
                  <xs:element name="milho_adubacaonitrogenadasintetica" type="xs:double" nillable="true"/>
                  <xs:element name="milho_nadubosintetico" type="xs:double" nillable="true"/>
                  <xs:element name="milho_ureia" type="xs:double" nillable="true"/>
                  <xs:element name="milho_calcariocalcitico" type="xs:double" nillable="true"/>
                  <xs:element name="milho_calcariodolomitico" type="xs:double" nillable="true"/>
                  <xs:element name="milho_adubacaoorganicacompostoorganico" type="xs:double" nillable="true"/>
                  <xs:element name="milho_adubacaoorganicaestercogeral" type="xs:double" nillable="true"/>
                  <xs:element name="milho_adubacaoorganicaestercoavicola" type="xs:double" nillable="true"/>
                  <xs:element name="milho_adubacaoorganicaoutros" type="xs:double" nillable="true"/>
                  <xs:element name="milho_adubacaoverdeleguminosa" type="xs:double" nillable="true"/>
                  <xs:element name="milho_adubacaoverdegraminea" type="xs:double" nillable="true"/>
                  <xs:element name="milho_adubacaoverdeoutros" type="xs:double" nillable="true"/>
                  <xs:element name="milho_herbicida" type="xs:double" nillable="true"/>
                  <xs:element name="milho_inseticida" type="xs:double" nillable="true"/>
                  <xs:element name="milho_fungicida" type="xs:double" nillable="true"/>
                  <xs:element name="milho_tipocombustivel" type="xs:string" nillable="true"/>
                  <xs:element name="milho_tipoconsumocombustivel" type="xs:string" nillable="true"/>
                  <xs:element name="milho_consumodiesel" type="xs:double" nillable="true"/>
                  <xs:element name="milho_operacaomecanizada_calagem" type="xs:string" nillable="true"/>
                  <xs:element name="milho_operacaomecanizada_gradagemaradora" type="xs:string" nillable="true"/>
                  <xs:element name="milho_operacaomecanizada_gradagemniveladora" type="xs:string" nillable="true"/>
                  <xs:element name="milho_operacaomecanizada_plantiocomadubacao" type="xs:string" nillable="true"/>
                  <xs:element name="milho_operacaomecanizada_transporteinternoparaplantio" type="xs:string" nillable="true"/>
                  <xs:element name="milho_operacaomecanizada_adubacaodecobertura" type="xs:string" nillable="true"/>
                  <xs:element name="milho_operacaomecanizada_herbicida" type="xs:string" nillable="true"/>
                  <xs:element name="milho_operacaomecanizada_inseticida" type="xs:string" nillable="true"/>
                  <xs:element name="milho_operacaomecanizada_transporteinternoparacolheita" type="xs:string" nillable="true"/>
                  <xs:element name="milho_operacaomecanizada_colheita" type="xs:string" nillable="true"/>
                  <xs:element name="milho_operacaomecanizada_calagem_repeticoes" type="xs:double" nillable="true"/>
                  <xs:element name="milho_operacaomecanizada_gradagemaradora_repeticoes" type="xs:double" nillable="true"/>
                  <xs:element name="milho_operacaomecanizada_gradagemniveladora_repeticoes" type="xs:double" nillable="true"/>
                  <xs:element name="milho_operacaomecanizada_plantiocomadubacao_repeticoes" type="xs:double" nillable="true"/>
                  <xs:element name="milho_operacaomecanizada_transporteinternoparaplantio_repeticoes" type="xs:double" nillable="true"/>
                  <xs:element name="milho_operacaomecanizada_adubacaodecobertura_repeticoes" type="xs:double" nillable="true"/>
                  <xs:element name="milho_operacaomecanizada_herbicida_repeticoes" type="xs:double" nillable="true"/>
                  <xs:element name="milho_operacaomecanizada_inseticida_repeticoes" type="xs:double" nillable="true"/>
                  <xs:element name="milho_operacaomecanizada_transporteinternoparacolheita_repeticoes" type="xs:double" nillable="true"/>
                  <xs:element name="milho_operacaomecanizada_colheita_repeticoes" type="xs:double" nillable="true"/>
                </xs:sequence>
              </xs:complexType>
            </xs:element>
            <xs:element name="PecuáriaPastagem">
              <xs:complexType>
                <xs:sequence>
                  <xs:element name="pecuariapastagem_estado" type="xs:string" nillable="true"/>
                  <xs:element name="pecuariapastagem_latitude" type="xs:string" nillable="true"/>
                  <xs:element name="pecuariapastagem_longitude" type="xs:string" nillable="true"/>
                  <xs:element name="pecuariapastagem_bioma" type="xs:string" nillable="true"/>
                  <xs:element name="pecuariapastagem_classetexturalsolo" type="xs:string" nillable="true"/>
                  <xs:element name="pecuariapastagem_teorargilasolo" type="xs:string" nillable="true"/>
                  <xs:element name="pecuariapastagem_usoanteriorterra" type="xs:string" nillable="true"/>
                  <xs:element name="pecuariapastagem_situacaopastagem" type="xs:string" nillable="true"/>
                  <xs:element name="pecuariapastagem_temponasituacao" type="xs:string" nillable="true"/>
                  <xs:element name="pecuariapastagem_cultivosoloorganico" type="xs:double" nillable="true"/>
                  <xs:element name="pecuariapastagem_areacultivada" type="xs:double" nillable="true"/>
                  <xs:element name="pecuariapastagem_adubacaonitrogenadasintetica" type="xs:double" nillable="true"/>
                  <xs:element name="pecuariapastagem_nadubosintetico" type="xs:double" nillable="true"/>
                  <xs:element name="pecuariapastagem_ureia" type="xs:double" nillable="true"/>
                  <xs:element name="pecuariapastagem_calcariocalcitico" type="xs:double" nillable="true"/>
                  <xs:element name="pecuariapastagem_calcariodolomitico" type="xs:double" nillable="true"/>
                  <xs:element name="pecuariapastagem_adubacaoorganicacompostoorganico" type="xs:double" nillable="true"/>
                  <xs:element name="pecuariapastagem_adubacaoorganicaestercogeral" type="xs:double" nillable="true"/>
                  <xs:element name="pecuariapastagem_adubacaoorganicaestercoavicola" type="xs:double" nillable="true"/>
                  <xs:element name="pecuariapastagem_adubacaoorganicaoutros" type="xs:double" nillable="true"/>
                  <xs:element name="pecuariapastagem_adubacaoverdegraminea" type="xs:double" nillable="true"/>
                  <xs:element name="pecuariapastagem_adubacaoverdeleguminosa" type="xs:double" nillable="true"/>
                  <xs:element name="pecuariapastagem_adubacaoverdeoutros" type="xs:double" nillable="true"/>
                  <xs:element name="pecuariapastagem_herbicida" type="xs:double" nillable="true"/>
                  <xs:element name="pecuariapastagem_inseticida" type="xs:double" nillable="true"/>
                  <xs:element name="pecuariapastagem_fungicida" type="xs:double" nillable="true"/>
                  <xs:element name="pecuariapastagem_tipoanimalcriado1" type="xs:string" nillable="true"/>
                  <xs:element name="pecuariapastagem_tipoanimalcriado2" type="xs:string" nillable="true"/>
                  <xs:element name="pecuariapastagem_tipoanimalcriado3" type="xs:string" nillable="true"/>
                  <xs:element name="pecuariapastagem_tipoanimalcriado4" type="xs:string" nillable="true"/>
                  <xs:element name="pecuariapastagem_tipoanimalcriado5" type="xs:string" nillable="true"/>
                  <xs:element name="pecuariapastagem_tipoanimalcriado6" type="xs:string" nillable="true"/>
                  <xs:element name="pecuariapastagem_tipoanimalcriado7" type="xs:string" nillable="true"/>
                  <xs:element name="pecuariapastagem_tipoanimalcriado8" type="xs:string" nillable="true"/>
                  <xs:element name="pecuariapastagem_tipoanimalcriado9" type="xs:string" nillable="true"/>
                  <xs:element name="pecuariapastagem_tipoanimalcriado10" type="xs:string" nillable="true"/>
                  <xs:element name="pecuariapastagem_tipoanimalcriado11" type="xs:string" nillable="true"/>
                  <xs:element name="pecuariapastagem_tipoanimalcriado12" type="xs:string" nillable="true"/>
                  <xs:element name="pecuariapastagem_tipoanimalcriado13" type="xs:string" nillable="true"/>
                  <xs:element name="pecuariapastagem_tipoanimalcriado14" type="xs:string" nillable="true"/>
                  <xs:element name="pecuariapastagem_tipoanimalcriado15" type="xs:string" nillable="true"/>
                  <xs:element name="pecuariapastagem_tipoanimalcriado16" type="xs:string" nillable="true"/>
                  <xs:element name="pecuariapastagem_tipoanimalcriado17" type="xs:string" nillable="true"/>
                  <xs:element name="pecuariapastagem_tipoanimalcriado18" type="xs:string" nillable="true"/>
                  <xs:element name="pecuariapastagem_tipoanimalcriado19" type="xs:string" nillable="true"/>
                  <xs:element name="pecuariapastagem_tipoanimalcriado20" type="xs:string" nillable="true"/>
                  <xs:element name="pecuariapastagem_sexo1" type="xs:string" nillable="true"/>
                  <xs:element name="pecuariapastagem_sexo2" type="xs:string" nillable="true"/>
                  <xs:element name="pecuariapastagem_sexo3" type="xs:string" nillable="true"/>
                  <xs:element name="pecuariapastagem_sexo4" type="xs:string" nillable="true"/>
                  <xs:element name="pecuariapastagem_sexo5" type="xs:string" nillable="true"/>
                  <xs:element name="pecuariapastagem_sexo6" type="xs:string" nillable="true"/>
                  <xs:element name="pecuariapastagem_sexo7" type="xs:string" nillable="true"/>
                  <xs:element name="pecuariapastagem_sexo8" type="xs:string" nillable="true"/>
                  <xs:element name="pecuariapastagem_sexo9" type="xs:string" nillable="true"/>
                  <xs:element name="pecuariapastagem_sexo10" type="xs:string" nillable="true"/>
                  <xs:element name="pecuariapastagem_sexo11" type="xs:string" nillable="true"/>
                  <xs:element name="pecuariapastagem_sexo12" type="xs:string" nillable="true"/>
                  <xs:element name="pecuariapastagem_sexo13" type="xs:string" nillable="true"/>
                  <xs:element name="pecuariapastagem_sexo14" type="xs:string" nillable="true"/>
                  <xs:element name="pecuariapastagem_sexo15" type="xs:string" nillable="true"/>
                  <xs:element name="pecuariapastagem_sexo16" type="xs:string" nillable="true"/>
                  <xs:element name="pecuariapastagem_sexo17" type="xs:string" nillable="true"/>
                  <xs:element name="pecuariapastagem_sexo18" type="xs:string" nillable="true"/>
                  <xs:element name="pecuariapastagem_sexo19" type="xs:string" nillable="true"/>
                  <xs:element name="pecuariapastagem_sexo20" type="xs:string" nillable="true"/>
                  <xs:element name="pecuariapastagem_idadeanimal1" type="xs:string" nillable="true"/>
                  <xs:element name="pecuariapastagem_idadeanimal2" type="xs:string" nillable="true"/>
                  <xs:element name="pecuariapastagem_idadeanimal3" type="xs:string" nillable="true"/>
                  <xs:element name="pecuariapastagem_idadeanimal4" type="xs:string" nillable="true"/>
                  <xs:element name="pecuariapastagem_idadeanimal5" type="xs:string" nillable="true"/>
                  <xs:element name="pecuariapastagem_idadeanimal6" type="xs:string" nillable="true"/>
                  <xs:element name="pecuariapastagem_idadeanimal7" type="xs:string" nillable="true"/>
                  <xs:element name="pecuariapastagem_idadeanimal8" type="xs:string" nillable="true"/>
                  <xs:element name="pecuariapastagem_idadeanimal9" type="xs:string" nillable="true"/>
                  <xs:element name="pecuariapastagem_idadeanimal10" type="xs:string" nillable="true"/>
                  <xs:element name="pecuariapastagem_idadeanimal11" type="xs:string" nillable="true"/>
                  <xs:element name="pecuariapastagem_idadeanimal12" type="xs:string" nillable="true"/>
                  <xs:element name="pecuariapastagem_idadeanimal13" type="xs:string" nillable="true"/>
                  <xs:element name="pecuariapastagem_idadeanimal14" type="xs:string" nillable="true"/>
                  <xs:element name="pecuariapastagem_idadeanimal15" type="xs:string" nillable="true"/>
                  <xs:element name="pecuariapastagem_idadeanimal16" type="xs:string" nillable="true"/>
                  <xs:element name="pecuariapastagem_idadeanimal17" type="xs:string" nillable="true"/>
                  <xs:element name="pecuariapastagem_idadeanimal18" type="xs:string" nillable="true"/>
                  <xs:element name="pecuariapastagem_idadeanimal19" type="xs:string" nillable="true"/>
                  <xs:element name="pecuariapastagem_idadeanimal20" type="xs:string" nillable="true"/>
                  <xs:element name="pecuariapastagem_numeroanimais1" type="xs:nonNegativeInteger" nillable="true"/>
                  <xs:element name="pecuariapastagem_numeroanimais2" type="xs:nonNegativeInteger" nillable="true"/>
                  <xs:element name="pecuariapastagem_numeroanimais3" type="xs:nonNegativeInteger" nillable="true"/>
                  <xs:element name="pecuariapastagem_numeroanimais4" type="xs:nonNegativeInteger" nillable="true"/>
                  <xs:element name="pecuariapastagem_numeroanimais5" type="xs:nonNegativeInteger" nillable="true"/>
                  <xs:element name="pecuariapastagem_numeroanimais6" type="xs:nonNegativeInteger" nillable="true"/>
                  <xs:element name="pecuariapastagem_numeroanimais7" type="xs:nonNegativeInteger" nillable="true"/>
                  <xs:element name="pecuariapastagem_numeroanimais8" type="xs:nonNegativeInteger" nillable="true"/>
                  <xs:element name="pecuariapastagem_numeroanimais9" type="xs:nonNegativeInteger" nillable="true"/>
                  <xs:element name="pecuariapastagem_numeroanimais10" type="xs:nonNegativeInteger" nillable="true"/>
                  <xs:element name="pecuariapastagem_numeroanimais11" type="xs:nonNegativeInteger" nillable="true"/>
                  <xs:element name="pecuariapastagem_numeroanimais12" type="xs:nonNegativeInteger" nillable="true"/>
                  <xs:element name="pecuariapastagem_numeroanimais13" type="xs:nonNegativeInteger" nillable="true"/>
                  <xs:element name="pecuariapastagem_numeroanimais14" type="xs:nonNegativeInteger" nillable="true"/>
                  <xs:element name="pecuariapastagem_numeroanimais15" type="xs:nonNegativeInteger" nillable="true"/>
                  <xs:element name="pecuariapastagem_numeroanimais16" type="xs:nonNegativeInteger" nillable="true"/>
                  <xs:element name="pecuariapastagem_numeroanimais17" type="xs:nonNegativeInteger" nillable="true"/>
                  <xs:element name="pecuariapastagem_numeroanimais18" type="xs:nonNegativeInteger" nillable="true"/>
                  <xs:element name="pecuariapastagem_numeroanimais19" type="xs:nonNegativeInteger" nillable="true"/>
                  <xs:element name="pecuariapastagem_numeroanimais20" type="xs:nonNegativeInteger" nillable="true"/>
                  <xs:element name="pecuariapastagem_manejodejetos1" type="xs:string" nillable="true"/>
                  <xs:element name="pecuariapastagem_manejodejetos2" type="xs:string" nillable="true"/>
                  <xs:element name="pecuariapastagem_manejodejetos3" type="xs:string" nillable="true"/>
                  <xs:element name="pecuariapastagem_manejodejetos4" type="xs:string" nillable="true"/>
                  <xs:element name="pecuariapastagem_manejodejetos5" type="xs:string" nillable="true"/>
                  <xs:element name="pecuariapastagem_manejodejetos6" type="xs:string" nillable="true"/>
                  <xs:element name="pecuariapastagem_manejodejetos7" type="xs:string" nillable="true"/>
                  <xs:element name="pecuariapastagem_manejodejetos8" type="xs:string" nillable="true"/>
                  <xs:element name="pecuariapastagem_manejodejetos9" type="xs:string" nillable="true"/>
                  <xs:element name="pecuariapastagem_manejodejetos10" type="xs:string" nillable="true"/>
                  <xs:element name="pecuariapastagem_manejodejetos11" type="xs:string" nillable="true"/>
                  <xs:element name="pecuariapastagem_manejodejetos12" type="xs:string" nillable="true"/>
                  <xs:element name="pecuariapastagem_manejodejetos13" type="xs:string" nillable="true"/>
                  <xs:element name="pecuariapastagem_manejodejetos14" type="xs:string" nillable="true"/>
                  <xs:element name="pecuariapastagem_manejodejetos15" type="xs:string" nillable="true"/>
                  <xs:element name="pecuariapastagem_manejodejetos16" type="xs:string" nillable="true"/>
                  <xs:element name="pecuariapastagem_manejodejetos17" type="xs:string" nillable="true"/>
                  <xs:element name="pecuariapastagem_manejodejetos18" type="xs:string" nillable="true"/>
                  <xs:element name="pecuariapastagem_manejodejetos19" type="xs:string" nillable="true"/>
                  <xs:element name="pecuariapastagem_manejodejetos20" type="xs:string" nillable="true"/>
                  <xs:element name="pecuariapastagem_dataentradaanimais1" type="xs:date" nillable="true"/>
                  <xs:element name="pecuariapastagem_dataentradaanimais2" type="xs:date" nillable="true"/>
                  <xs:element name="pecuariapastagem_dataentradaanimais3" type="xs:date" nillable="true"/>
                  <xs:element name="pecuariapastagem_dataentradaanimais4" type="xs:date" nillable="true"/>
                  <xs:element name="pecuariapastagem_dataentradaanimais5" type="xs:date" nillable="true"/>
                  <xs:element name="pecuariapastagem_dataentradaanimais6" type="xs:date" nillable="true"/>
                  <xs:element name="pecuariapastagem_dataentradaanimais7" type="xs:date" nillable="true"/>
                  <xs:element name="pecuariapastagem_dataentradaanimais8" type="xs:date" nillable="true"/>
                  <xs:element name="pecuariapastagem_dataentradaanimais9" type="xs:date" nillable="true"/>
                  <xs:element name="pecuariapastagem_dataentradaanimais10" type="xs:date" nillable="true"/>
                  <xs:element name="pecuariapastagem_dataentradaanimais11" type="xs:date" nillable="true"/>
                  <xs:element name="pecuariapastagem_dataentradaanimais12" type="xs:date" nillable="true"/>
                  <xs:element name="pecuariapastagem_dataentradaanimais13" type="xs:date" nillable="true"/>
                  <xs:element name="pecuariapastagem_dataentradaanimais14" type="xs:date" nillable="true"/>
                  <xs:element name="pecuariapastagem_dataentradaanimais15" type="xs:date" nillable="true"/>
                  <xs:element name="pecuariapastagem_dataentradaanimais16" type="xs:date" nillable="true"/>
                  <xs:element name="pecuariapastagem_dataentradaanimais17" type="xs:date" nillable="true"/>
                  <xs:element name="pecuariapastagem_dataentradaanimais18" type="xs:date" nillable="true"/>
                  <xs:element name="pecuariapastagem_dataentradaanimais19" type="xs:date" nillable="true"/>
                  <xs:element name="pecuariapastagem_dataentradaanimais20" type="xs:date" nillable="true"/>
                  <xs:element name="pecuariapastagem_datasaidaanimais1" type="xs:date" nillable="true"/>
                  <xs:element name="pecuariapastagem_datasaidaanimais2" type="xs:date" nillable="true"/>
                  <xs:element name="pecuariapastagem_datasaidaanimais3" type="xs:date" nillable="true"/>
                  <xs:element name="pecuariapastagem_datasaidaanimais4" type="xs:date" nillable="true"/>
                  <xs:element name="pecuariapastagem_datasaidaanimais5" type="xs:date" nillable="true"/>
                  <xs:element name="pecuariapastagem_datasaidaanimais6" type="xs:date" nillable="true"/>
                  <xs:element name="pecuariapastagem_datasaidaanimais7" type="xs:date" nillable="true"/>
                  <xs:element name="pecuariapastagem_datasaidaanimais8" type="xs:date" nillable="true"/>
                  <xs:element name="pecuariapastagem_datasaidaanimais9" type="xs:date" nillable="true"/>
                  <xs:element name="pecuariapastagem_datasaidaanimais10" type="xs:date" nillable="true"/>
                  <xs:element name="pecuariapastagem_datasaidaanimais11" type="xs:date" nillable="true"/>
                  <xs:element name="pecuariapastagem_datasaidaanimais12" type="xs:date" nillable="true"/>
                  <xs:element name="pecuariapastagem_datasaidaanimais13" type="xs:date" nillable="true"/>
                  <xs:element name="pecuariapastagem_datasaidaanimais14" type="xs:date" nillable="true"/>
                  <xs:element name="pecuariapastagem_datasaidaanimais15" type="xs:date" nillable="true"/>
                  <xs:element name="pecuariapastagem_datasaidaanimais16" type="xs:date" nillable="true"/>
                  <xs:element name="pecuariapastagem_datasaidaanimais17" type="xs:date" nillable="true"/>
                  <xs:element name="pecuariapastagem_datasaidaanimais18" type="xs:date" nillable="true"/>
                  <xs:element name="pecuariapastagem_datasaidaanimais19" type="xs:date" nillable="true"/>
                  <xs:element name="pecuariapastagem_datasaidaanimais20" type="xs:date" nillable="true"/>
                  <xs:element name="pecuariapastagem_tipocombustivel" type="xs:string" nillable="true"/>
                  <xs:element name="pecuariapastagem_tipoconsumocombustivel" type="xs:string" nillable="true"/>
                  <xs:element name="pecuariapastagem_consumodiesel" type="xs:double" nillable="true"/>
                  <xs:element name="pecuariapastagem_operacaomecanizada_calagem" type="xs:string" nillable="true"/>
                  <xs:element name="pecuariapastagem_operacaomecanizada_adubacaocobertura" type="xs:string" nillable="true"/>
                  <xs:element name="pecuariapastagem_operacaomecanizada_calagem_repeticoes" type="xs:double" nillable="true"/>
                  <xs:element name="pecuariapastagem_operacaomecanizada_adubacaocobertura_repeticoes" type="xs:double" nillable="true"/>
                </xs:sequence>
              </xs:complexType>
            </xs:element>
            <xs:element name="Soja">
              <xs:complexType>
                <xs:sequence>
                  <xs:element name="soja_estado" type="xs:string" nillable="true"/>
                  <xs:element name="soja_latitude" type="xs:double" nillable="true"/>
                  <xs:element name="soja_longitude" type="xs:double" nillable="true"/>
                  <xs:element name="soja_bioma" type="xs:string" nillable="true"/>
                  <xs:element name="soja_dataplantio" type="xs:date" nillable="true"/>
                  <xs:element name="soja_datacolheita" type="xs:date" nillable="true"/>
                  <xs:element name="soja_classetexturalsolo" type="xs:string" nillable="true"/>
                  <xs:element name="soja_teorargilasolo" type="xs:string" nillable="true"/>
                  <xs:element name="soja_usoanteriorterra" type="xs:string" nillable="true"/>
                  <xs:element name="soja_manejosolo" type="xs:string" nillable="true"/>
                  <xs:element name="soja_tempoadocaosistema" type="xs:string" nillable="true"/>
                  <xs:element name="soja_areaqueimaresiduos" type="xs:double" nillable="true"/>
                  <xs:element name="soja_cultivosoloorganico" type="xs:double" nillable="true"/>
                  <xs:element name="soja_areacultivada" type="xs:double" nillable="true"/>
                  <xs:element name="soja_produtividademedia" type="xs:double" nillable="true"/>
                  <xs:element name="soja_adubacaonitrogenadasintetica" type="xs:double" nillable="true"/>
                  <xs:element name="soja_nadubosintetico" type="xs:double" nillable="true"/>
                  <xs:element name="soja_ureia" type="xs:double" nillable="true"/>
                  <xs:element name="soja_calcariocalcitico" type="xs:double" nillable="true"/>
                  <xs:element name="soja_calcariodolomitico" type="xs:double" nillable="true"/>
                  <xs:element name="soja_adubacaoorganicacompostoorganico" type="xs:double" nillable="true"/>
                  <xs:element name="soja_adubacaoorganicaestercogeral" type="xs:double" nillable="true"/>
                  <xs:element name="soja_adubacaoorganicaestercoavicola" type="xs:double" nillable="true"/>
                  <xs:element name="soja_adubacaoorganicaoutros" type="xs:double" nillable="true"/>
                  <xs:element name="soja_adubacaoverdeleguminosa" type="xs:double" nillable="true"/>
                  <xs:element name="soja_adubacaoverdegraminea" type="xs:double" nillable="true"/>
                  <xs:element name="soja_adubacaoverdeoutros" type="xs:double" nillable="true"/>
                  <xs:element name="soja_herbicida" type="xs:double" nillable="true"/>
                  <xs:element name="soja_inseticida" type="xs:double" nillable="true"/>
                  <xs:element name="soja_fungicida" type="xs:double" nillable="true"/>
                  <xs:element name="soja_tipocombustivel" type="xs:string" nillable="true"/>
                  <xs:element name="soja_tipoconsumocombustivel" type="xs:string" nillable="true"/>
                  <xs:element name="soja_consumodiesel" type="xs:double" nillable="true"/>
                  <xs:element name="soja_operacaomecanizada_calagem" type="xs:string" nillable="true"/>
                  <xs:element name="soja_operacaomecanizada_dessecacaopreemergente" type="xs:string" nillable="true"/>
                  <xs:element name="soja_operacaomecanizada_limpezaarearocadeira" type="xs:string" nillable="true"/>
                  <xs:element name="soja_operacaomecanizada_plantioadubacao" type="xs:string" nillable="true"/>
                  <xs:element name="soja_operacaomecanizada_fungicida" type="xs:string" nillable="true"/>
                  <xs:element name="soja_operacaomecanizada_inseticida" type="xs:string" nillable="true"/>
                  <xs:element name="soja_operacaomecanizada_herbicidaposemergente" type="xs:string" nillable="true"/>
                  <xs:element name="soja_operacaomecanizada_calagem_repeticoes" type="xs:double" nillable="true"/>
                  <xs:element name="soja_operacaomecanizada_dessecacaopreemergente_repeticoes" type="xs:double" nillable="true"/>
                  <xs:element name="soja_operacaomecanizada_limpezaarearocadeira_repeticoes" type="xs:double" nillable="true"/>
                  <xs:element name="soja_operacaomecanizada_plantioadubacao_repeticoes" type="xs:double" nillable="true"/>
                  <xs:element name="soja_operacaomecanizada_fungicida_repeticoes" type="xs:double" nillable="true"/>
                  <xs:element name="soja_operacaomecanizada_inseticida_repeticoes" type="xs:double" nillable="true"/>
                  <xs:element name="soja_operacaomecanizada_herbicidaposemergente_repeticoes" type="xs:double" nillable="true"/>
                </xs:sequence>
              </xs:complexType>
            </xs:element>
            <xs:element name="Trigo">
              <xs:complexType>
                <xs:sequence>
                  <xs:element name="trigo_estado" type="xs:string" nillable="true"/>
                  <xs:element name="trigo_latitude" type="xs:double" nillable="true"/>
                  <xs:element name="trigo_longitude" type="xs:double" nillable="true"/>
                  <xs:element name="trigo_bioma" type="xs:string" nillable="true"/>
                  <xs:element name="trigo_dataplantio" type="xs:date" nillable="true"/>
                  <xs:element name="trigo_datacolheita" type="xs:date" nillable="true"/>
                  <xs:element name="trigo_classetexturalsolo" type="xs:string" nillable="true"/>
                  <xs:element name="trigo_teorargilasolo" type="xs:string" nillable="true"/>
                  <xs:element name="trigo_usoanteriorterra" type="xs:string" nillable="true"/>
                  <xs:element name="trigo_manejosolo" type="xs:string" nillable="true"/>
                  <xs:element name="trigo_tempoadocaosistema" type="xs:string" nillable="true"/>
                  <xs:element name="trigo_areaqueimaresiduos" type="xs:double" nillable="true"/>
                  <xs:element name="trigo_cultivosoloorganico" type="xs:double" nillable="true"/>
                  <xs:element name="trigo_areacultivada" type="xs:double" nillable="true"/>
                  <xs:element name="trigo_produtividademedia" type="xs:double" nillable="true"/>
                  <xs:element name="trigo_adubacaonitrogenadasintetica" type="xs:double" nillable="true"/>
                  <xs:element name="trigo_nadubosintetico" type="xs:double" nillable="true"/>
                  <xs:element name="trigo_ureia" type="xs:double" nillable="true"/>
                  <xs:element name="trigo_calcariocalcitico" type="xs:double" nillable="true"/>
                  <xs:element name="trigo_calcariodolomitico" type="xs:double" nillable="true"/>
                  <xs:element name="trigo_adubacaoorganicacompostoorganico" type="xs:double" nillable="true"/>
                  <xs:element name="trigo_adubacaoorganicaestercogeral" type="xs:double" nillable="true"/>
                  <xs:element name="trigo_adubacaoorganicaestercoavicola" type="xs:double" nillable="true"/>
                  <xs:element name="trigo_adubacaoorganicaoutros" type="xs:double" nillable="true"/>
                  <xs:element name="trigo_adubacaoverdeleguminosa" type="xs:double" nillable="true"/>
                  <xs:element name="trigo_adubacaoverdegraminea" type="xs:double" nillable="true"/>
                  <xs:element name="trigo_adubacaoverdeoutros" type="xs:double" nillable="true"/>
                  <xs:element name="trigo_herbicida" type="xs:double" nillable="true"/>
                  <xs:element name="trigo_inseticida" type="xs:double" nillable="true"/>
                  <xs:element name="trigo_fungicida" type="xs:double" nillable="true"/>
                  <xs:element name="trigo_tipocombustivel" type="xs:string" nillable="true"/>
                  <xs:element name="trigo_tipoconsumocombustivel" type="xs:string" nillable="true"/>
                  <xs:element name="trigo_consumodiesel" type="xs:double" nillable="true"/>
                  <xs:element name="trigo_operacaomecanizada_plantio" type="xs:string" nillable="true"/>
                  <xs:element name="trigo_operacaomecanizada_herbicida" type="xs:string" nillable="true"/>
                  <xs:element name="trigo_operacaomecanizada_inseticida" type="xs:string" nillable="true"/>
                  <xs:element name="trigo_operacaomecanizada_fungicida" type="xs:string" nillable="true"/>
                  <xs:element name="trigo_operacaomecanizada_colheita" type="xs:string" nillable="true"/>
                  <xs:element name="trigo_operacaomecanizada_plantio_repeticoes" type="xs:double" nillable="true"/>
                  <xs:element name="trigo_operacaomecanizada_herbicida_repeticoes" type="xs:double" nillable="true"/>
                  <xs:element name="trigo_operacaomecanizada_inseticida_repeticoes" type="xs:double" nillable="true"/>
                  <xs:element name="trigo_operacaomecanizada_fungicida_repeticoes" type="xs:double" nillable="true"/>
                  <xs:element name="trigo_operacaomecanizada_colheita_repeticoes" type="xs:double" nillable="true"/>
                </xs:sequence>
              </xs:complexType>
            </xs:element>
          </xs:sequence>
        </xs:complexType>
      </xs:element>
    </xs:schema>
  </Schema>
  <Map ID="13" Name="GHGPROTOCOL_Mapa" RootElement="GHGPROTOCOL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Metodologia/Metodologia.pdf" TargetMode="External"/><Relationship Id="rId2" Type="http://schemas.openxmlformats.org/officeDocument/2006/relationships/hyperlink" Target="http://www.ghgprotocol.org/Agriculture-Guidance/Vis%C3%A3o-Geral:-Projeto-Brasil-Agropecu%C3%A1ria" TargetMode="External"/><Relationship Id="rId1" Type="http://schemas.openxmlformats.org/officeDocument/2006/relationships/hyperlink" Target="Estimativas%20anuais%20de%20emiss&#245;es%20de%20GEE%20no%20Brasil/Estimativas%20anuais%20de%20emiss&#245;es%20de%20GEE%20no%20Brasil.pdf" TargetMode="External"/><Relationship Id="rId5" Type="http://schemas.openxmlformats.org/officeDocument/2006/relationships/image" Target="../media/image2.jpe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Metodologia/Metodologia.pdf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85725</xdr:rowOff>
    </xdr:from>
    <xdr:to>
      <xdr:col>13</xdr:col>
      <xdr:colOff>523875</xdr:colOff>
      <xdr:row>12</xdr:row>
      <xdr:rowOff>76200</xdr:rowOff>
    </xdr:to>
    <xdr:grpSp>
      <xdr:nvGrpSpPr>
        <xdr:cNvPr id="2" name="Grupo 1"/>
        <xdr:cNvGrpSpPr/>
      </xdr:nvGrpSpPr>
      <xdr:grpSpPr>
        <a:xfrm>
          <a:off x="247650" y="1543050"/>
          <a:ext cx="8020050" cy="476250"/>
          <a:chOff x="266700" y="2152650"/>
          <a:chExt cx="8020050" cy="476250"/>
        </a:xfrm>
      </xdr:grpSpPr>
      <xdr:sp macro="" textlink="">
        <xdr:nvSpPr>
          <xdr:cNvPr id="27" name="Fluxograma: Processo 60"/>
          <xdr:cNvSpPr>
            <a:spLocks noChangeArrowheads="1"/>
          </xdr:cNvSpPr>
        </xdr:nvSpPr>
        <xdr:spPr bwMode="auto">
          <a:xfrm>
            <a:off x="276225" y="2152650"/>
            <a:ext cx="8010525" cy="476250"/>
          </a:xfrm>
          <a:prstGeom prst="flowChartProcess">
            <a:avLst/>
          </a:prstGeom>
          <a:solidFill>
            <a:schemeClr val="bg2">
              <a:lumMod val="90000"/>
            </a:schemeClr>
          </a:solidFill>
          <a:ln w="19050" algn="ctr">
            <a:solidFill>
              <a:schemeClr val="bg2">
                <a:lumMod val="50000"/>
              </a:schemeClr>
            </a:solidFill>
            <a:round/>
            <a:headEnd/>
            <a:tailEnd/>
          </a:ln>
          <a:effectLst/>
        </xdr:spPr>
        <xdr:txBody>
          <a:bodyPr/>
          <a:lstStyle/>
          <a:p>
            <a:pPr algn="r"/>
            <a:endParaRPr lang="pt-BR" sz="9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8" name="Fluxograma: Processo 59"/>
          <xdr:cNvSpPr/>
        </xdr:nvSpPr>
        <xdr:spPr bwMode="auto">
          <a:xfrm>
            <a:off x="266700" y="2228850"/>
            <a:ext cx="647700" cy="323849"/>
          </a:xfrm>
          <a:prstGeom prst="flowChartProcess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1000" b="1">
                <a:latin typeface="Arial" panose="020B0604020202020204" pitchFamily="34" charset="0"/>
                <a:cs typeface="Arial" panose="020B0604020202020204" pitchFamily="34" charset="0"/>
              </a:rPr>
              <a:t>Opções</a:t>
            </a:r>
          </a:p>
        </xdr:txBody>
      </xdr:sp>
      <xdr:sp macro="[0]!EstaPasta_de_trabalho.ReiniciarInventario" textlink="">
        <xdr:nvSpPr>
          <xdr:cNvPr id="29" name="Retângulo de cantos arredondados 37"/>
          <xdr:cNvSpPr/>
        </xdr:nvSpPr>
        <xdr:spPr bwMode="auto">
          <a:xfrm>
            <a:off x="1866900" y="22098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Limpar todos</a:t>
            </a:r>
          </a:p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os formulários</a:t>
            </a:r>
          </a:p>
        </xdr:txBody>
      </xdr:sp>
      <xdr:sp macro="[0]!EstaPasta_de_trabalho.SalvarInventario" textlink="">
        <xdr:nvSpPr>
          <xdr:cNvPr id="30" name="Retângulo de cantos arredondados 37"/>
          <xdr:cNvSpPr/>
        </xdr:nvSpPr>
        <xdr:spPr bwMode="auto">
          <a:xfrm>
            <a:off x="962025" y="22098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8151</xdr:colOff>
      <xdr:row>0</xdr:row>
      <xdr:rowOff>47625</xdr:rowOff>
    </xdr:from>
    <xdr:to>
      <xdr:col>16</xdr:col>
      <xdr:colOff>576706</xdr:colOff>
      <xdr:row>12</xdr:row>
      <xdr:rowOff>30422</xdr:rowOff>
    </xdr:to>
    <xdr:grpSp>
      <xdr:nvGrpSpPr>
        <xdr:cNvPr id="33" name="Grupo 32"/>
        <xdr:cNvGrpSpPr>
          <a:grpSpLocks/>
        </xdr:cNvGrpSpPr>
      </xdr:nvGrpSpPr>
      <xdr:grpSpPr>
        <a:xfrm>
          <a:off x="255801" y="47625"/>
          <a:ext cx="9893530" cy="1925897"/>
          <a:chOff x="291285" y="47624"/>
          <a:chExt cx="9893530" cy="2024241"/>
        </a:xfrm>
      </xdr:grpSpPr>
      <xdr:grpSp>
        <xdr:nvGrpSpPr>
          <xdr:cNvPr id="34" name="Grupo 33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36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37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38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39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40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1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42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43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4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45" name="CaixaDeTexto 44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46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47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48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49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50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51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52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53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79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80" name="Imagem 79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81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82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83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84" name="Imagem 83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35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504825</xdr:colOff>
      <xdr:row>69</xdr:row>
      <xdr:rowOff>104775</xdr:rowOff>
    </xdr:from>
    <xdr:ext cx="7048500" cy="264560"/>
    <mc:AlternateContent xmlns:mc="http://schemas.openxmlformats.org/markup-compatibility/2006">
      <mc:Choice xmlns:a14="http://schemas.microsoft.com/office/drawing/2010/main" xmlns="" Requires="a14">
        <xdr:sp macro="" textlink="">
          <xdr:nvSpPr>
            <xdr:cNvPr id="2" name="CaixaDeTexto 1"/>
            <xdr:cNvSpPr txBox="1"/>
          </xdr:nvSpPr>
          <xdr:spPr>
            <a:xfrm>
              <a:off x="1581150" y="17811750"/>
              <a:ext cx="70485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/>
                      </a:rPr>
                      <m:t>𝐸𝑚𝑖𝑠𝑠</m:t>
                    </m:r>
                    <m:r>
                      <a:rPr lang="pt-BR" sz="1100" b="0" i="1">
                        <a:latin typeface="Cambria Math"/>
                      </a:rPr>
                      <m:t>õ</m:t>
                    </m:r>
                    <m:r>
                      <a:rPr lang="pt-BR" sz="1100" b="0" i="1">
                        <a:latin typeface="Cambria Math"/>
                      </a:rPr>
                      <m:t>𝑒𝑠</m:t>
                    </m:r>
                    <m:r>
                      <a:rPr lang="pt-BR" sz="1100" b="0" i="1">
                        <a:latin typeface="Cambria Math"/>
                      </a:rPr>
                      <m:t> </m:t>
                    </m:r>
                    <m:r>
                      <a:rPr lang="pt-BR" sz="1100" b="0" i="1">
                        <a:latin typeface="Cambria Math"/>
                      </a:rPr>
                      <m:t>𝑙</m:t>
                    </m:r>
                    <m:r>
                      <a:rPr lang="pt-BR" sz="1100" b="0" i="1">
                        <a:latin typeface="Cambria Math"/>
                      </a:rPr>
                      <m:t>í</m:t>
                    </m:r>
                    <m:r>
                      <a:rPr lang="pt-BR" sz="1100" b="0" i="1">
                        <a:latin typeface="Cambria Math"/>
                      </a:rPr>
                      <m:t>𝑞𝑢𝑖𝑑𝑎𝑠</m:t>
                    </m:r>
                    <m:r>
                      <a:rPr lang="pt-BR" sz="1100" b="0" i="1">
                        <a:latin typeface="Cambria Math"/>
                      </a:rPr>
                      <m:t>=</m:t>
                    </m:r>
                    <m:r>
                      <a:rPr lang="pt-BR" sz="1100" b="0" i="1">
                        <a:latin typeface="Cambria Math"/>
                      </a:rPr>
                      <m:t>𝐸𝑚𝑖𝑠𝑠</m:t>
                    </m:r>
                    <m:r>
                      <a:rPr lang="pt-BR" sz="1100" b="0" i="1">
                        <a:latin typeface="Cambria Math"/>
                      </a:rPr>
                      <m:t>õ</m:t>
                    </m:r>
                    <m:r>
                      <a:rPr lang="pt-BR" sz="1100" b="0" i="1">
                        <a:latin typeface="Cambria Math"/>
                      </a:rPr>
                      <m:t>𝑒𝑠</m:t>
                    </m:r>
                    <m:r>
                      <a:rPr lang="pt-BR" sz="1100" b="0" i="1">
                        <a:latin typeface="Cambria Math"/>
                      </a:rPr>
                      <m:t> </m:t>
                    </m:r>
                    <m:r>
                      <a:rPr lang="pt-BR" sz="1100" b="0" i="1">
                        <a:latin typeface="Cambria Math"/>
                      </a:rPr>
                      <m:t>𝑑𝑒</m:t>
                    </m:r>
                    <m:r>
                      <a:rPr lang="pt-BR" sz="1100" b="0" i="1">
                        <a:latin typeface="Cambria Math"/>
                      </a:rPr>
                      <m:t> </m:t>
                    </m:r>
                    <m:r>
                      <a:rPr lang="pt-BR" sz="1100" b="0" i="1">
                        <a:latin typeface="Cambria Math"/>
                      </a:rPr>
                      <m:t>𝐸𝑠𝑐𝑜𝑝𝑜</m:t>
                    </m:r>
                    <m:r>
                      <a:rPr lang="pt-BR" sz="1100" b="0" i="1">
                        <a:latin typeface="Cambria Math"/>
                      </a:rPr>
                      <m:t> 1, 2 </m:t>
                    </m:r>
                    <m:r>
                      <a:rPr lang="pt-BR" sz="1100" b="0" i="1">
                        <a:latin typeface="Cambria Math"/>
                      </a:rPr>
                      <m:t>𝑒</m:t>
                    </m:r>
                    <m:r>
                      <a:rPr lang="pt-BR" sz="1100" b="0" i="1">
                        <a:latin typeface="Cambria Math"/>
                      </a:rPr>
                      <m:t> 3+</m:t>
                    </m:r>
                    <m:r>
                      <a:rPr lang="pt-BR" sz="1100" b="0" i="1">
                        <a:latin typeface="Cambria Math"/>
                      </a:rPr>
                      <m:t>𝐸𝑚𝑖𝑠𝑠</m:t>
                    </m:r>
                    <m:r>
                      <a:rPr lang="pt-BR" sz="1100" b="0" i="1">
                        <a:latin typeface="Cambria Math"/>
                      </a:rPr>
                      <m:t>õ</m:t>
                    </m:r>
                    <m:r>
                      <a:rPr lang="pt-BR" sz="1100" b="0" i="1">
                        <a:latin typeface="Cambria Math"/>
                      </a:rPr>
                      <m:t>𝑒𝑠</m:t>
                    </m:r>
                    <m:r>
                      <a:rPr lang="pt-BR" sz="1100" b="0" i="1">
                        <a:latin typeface="Cambria Math"/>
                      </a:rPr>
                      <m:t> </m:t>
                    </m:r>
                    <m:r>
                      <a:rPr lang="pt-BR" sz="1100" b="0" i="1">
                        <a:latin typeface="Cambria Math"/>
                      </a:rPr>
                      <m:t>𝑑𝑒</m:t>
                    </m:r>
                    <m:r>
                      <a:rPr lang="pt-BR" sz="1100" b="0" i="1">
                        <a:latin typeface="Cambria Math"/>
                      </a:rPr>
                      <m:t> </m:t>
                    </m:r>
                    <m:r>
                      <a:rPr lang="pt-BR" sz="1100" b="0" i="1">
                        <a:latin typeface="Cambria Math"/>
                      </a:rPr>
                      <m:t>𝑐𝑎𝑟𝑏𝑜𝑛𝑜</m:t>
                    </m:r>
                    <m:r>
                      <a:rPr lang="pt-BR" sz="1100" b="0" i="1">
                        <a:latin typeface="Cambria Math"/>
                      </a:rPr>
                      <m:t> </m:t>
                    </m:r>
                    <m:r>
                      <a:rPr lang="pt-BR" sz="1100" b="0" i="1">
                        <a:latin typeface="Cambria Math"/>
                      </a:rPr>
                      <m:t>𝑏𝑖𝑜𝑔</m:t>
                    </m:r>
                    <m:r>
                      <a:rPr lang="pt-BR" sz="1100" b="0" i="1">
                        <a:latin typeface="Cambria Math"/>
                      </a:rPr>
                      <m:t>ê</m:t>
                    </m:r>
                    <m:r>
                      <a:rPr lang="pt-BR" sz="1100" b="0" i="1">
                        <a:latin typeface="Cambria Math"/>
                      </a:rPr>
                      <m:t>𝑛𝑖𝑐𝑜</m:t>
                    </m:r>
                    <m:r>
                      <a:rPr lang="pt-BR" sz="1100" b="0" i="1">
                        <a:latin typeface="Cambria Math"/>
                      </a:rPr>
                      <m:t>−</m:t>
                    </m:r>
                    <m:r>
                      <a:rPr lang="pt-BR" sz="1100" b="0" i="1">
                        <a:latin typeface="Cambria Math"/>
                      </a:rPr>
                      <m:t>𝑆𝑒𝑞𝑢𝑒𝑠𝑡𝑟𝑜</m:t>
                    </m:r>
                    <m:r>
                      <a:rPr lang="pt-BR" sz="1100" b="0" i="1">
                        <a:latin typeface="Cambria Math"/>
                      </a:rPr>
                      <m:t> </m:t>
                    </m:r>
                    <m:r>
                      <a:rPr lang="pt-BR" sz="1100" b="0" i="1">
                        <a:latin typeface="Cambria Math"/>
                      </a:rPr>
                      <m:t>𝑑𝑒</m:t>
                    </m:r>
                    <m:r>
                      <a:rPr lang="pt-BR" sz="1100" b="0" i="1">
                        <a:latin typeface="Cambria Math"/>
                      </a:rPr>
                      <m:t> </m:t>
                    </m:r>
                    <m:r>
                      <a:rPr lang="pt-BR" sz="1100" b="0" i="1">
                        <a:latin typeface="Cambria Math"/>
                      </a:rPr>
                      <m:t>𝑐𝑎𝑟𝑏𝑜𝑛𝑜</m:t>
                    </m:r>
                  </m:oMath>
                </m:oMathPara>
              </a14:m>
              <a:endParaRPr lang="pt-BR" sz="1100"/>
            </a:p>
          </xdr:txBody>
        </xdr:sp>
      </mc:Choice>
      <mc:Fallback>
        <xdr:sp macro="" textlink="">
          <xdr:nvSpPr>
            <xdr:cNvPr id="2" name="CaixaDeTexto 1"/>
            <xdr:cNvSpPr txBox="1"/>
          </xdr:nvSpPr>
          <xdr:spPr>
            <a:xfrm>
              <a:off x="1581150" y="17811750"/>
              <a:ext cx="70485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0" i="0">
                  <a:latin typeface="Cambria Math"/>
                </a:rPr>
                <a:t>𝐸𝑚𝑖𝑠𝑠õ𝑒𝑠 𝑙í𝑞𝑢𝑖𝑑𝑎𝑠=𝐸𝑚𝑖𝑠𝑠õ𝑒𝑠 𝑑𝑒 𝐸𝑠𝑐𝑜𝑝𝑜 1, 2 𝑒 3+𝐸𝑚𝑖𝑠𝑠õ𝑒𝑠 𝑑𝑒 𝑐𝑎𝑟𝑏𝑜𝑛𝑜 𝑏𝑖𝑜𝑔ê𝑛𝑖𝑐𝑜−𝑆𝑒𝑞𝑢𝑒𝑠𝑡𝑟𝑜 𝑑𝑒 𝑐𝑎𝑟𝑏𝑜𝑛𝑜</a:t>
              </a:r>
              <a:endParaRPr lang="pt-BR" sz="1100"/>
            </a:p>
          </xdr:txBody>
        </xdr:sp>
      </mc:Fallback>
    </mc:AlternateContent>
    <xdr:clientData/>
  </xdr:oneCellAnchor>
  <xdr:twoCellAnchor editAs="absolute">
    <xdr:from>
      <xdr:col>1</xdr:col>
      <xdr:colOff>0</xdr:colOff>
      <xdr:row>9</xdr:row>
      <xdr:rowOff>76200</xdr:rowOff>
    </xdr:from>
    <xdr:to>
      <xdr:col>3</xdr:col>
      <xdr:colOff>7543800</xdr:colOff>
      <xdr:row>12</xdr:row>
      <xdr:rowOff>66675</xdr:rowOff>
    </xdr:to>
    <xdr:grpSp>
      <xdr:nvGrpSpPr>
        <xdr:cNvPr id="53" name="Grupo 52"/>
        <xdr:cNvGrpSpPr/>
      </xdr:nvGrpSpPr>
      <xdr:grpSpPr>
        <a:xfrm>
          <a:off x="247650" y="1533525"/>
          <a:ext cx="8010525" cy="476250"/>
          <a:chOff x="266700" y="2152650"/>
          <a:chExt cx="8010525" cy="476250"/>
        </a:xfrm>
      </xdr:grpSpPr>
      <xdr:sp macro="" textlink="">
        <xdr:nvSpPr>
          <xdr:cNvPr id="54" name="Fluxograma: Processo 60"/>
          <xdr:cNvSpPr>
            <a:spLocks noChangeArrowheads="1"/>
          </xdr:cNvSpPr>
        </xdr:nvSpPr>
        <xdr:spPr bwMode="auto">
          <a:xfrm>
            <a:off x="276225" y="2152650"/>
            <a:ext cx="8001000" cy="476250"/>
          </a:xfrm>
          <a:prstGeom prst="flowChartProcess">
            <a:avLst/>
          </a:prstGeom>
          <a:solidFill>
            <a:schemeClr val="bg2">
              <a:lumMod val="90000"/>
            </a:schemeClr>
          </a:solidFill>
          <a:ln w="19050" algn="ctr">
            <a:solidFill>
              <a:schemeClr val="bg2">
                <a:lumMod val="50000"/>
              </a:schemeClr>
            </a:solidFill>
            <a:round/>
            <a:headEnd/>
            <a:tailEnd/>
          </a:ln>
          <a:effectLst/>
        </xdr:spPr>
        <xdr:txBody>
          <a:bodyPr/>
          <a:lstStyle/>
          <a:p>
            <a:pPr algn="r"/>
            <a:endParaRPr lang="pt-BR" sz="9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5" name="Fluxograma: Processo 59"/>
          <xdr:cNvSpPr/>
        </xdr:nvSpPr>
        <xdr:spPr bwMode="auto">
          <a:xfrm>
            <a:off x="266700" y="2228850"/>
            <a:ext cx="647700" cy="323849"/>
          </a:xfrm>
          <a:prstGeom prst="flowChartProcess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1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Links</a:t>
            </a:r>
          </a:p>
        </xdr:txBody>
      </xdr:sp>
      <xdr:sp macro="[0]!EstaPasta_de_trabalho.ReiniciarInventario" textlink="">
        <xdr:nvSpPr>
          <xdr:cNvPr id="56" name="Retângulo de cantos arredondados 37">
            <a:hlinkClick xmlns:r="http://schemas.openxmlformats.org/officeDocument/2006/relationships" r:id="rId1"/>
          </xdr:cNvPr>
          <xdr:cNvSpPr/>
        </xdr:nvSpPr>
        <xdr:spPr bwMode="auto">
          <a:xfrm>
            <a:off x="2076450" y="2209800"/>
            <a:ext cx="1440000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Estimativas anuais</a:t>
            </a:r>
            <a:r>
              <a:rPr lang="pt-BR" sz="800" b="1" baseline="0">
                <a:latin typeface="Arial" panose="020B0604020202020204" pitchFamily="34" charset="0"/>
                <a:cs typeface="Arial" panose="020B0604020202020204" pitchFamily="34" charset="0"/>
              </a:rPr>
              <a:t> de emissões de GEE no Brasil</a:t>
            </a:r>
            <a:endParaRPr lang="pt-BR" sz="8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EstaPasta_de_trabalho.SalvarInventario" textlink="">
        <xdr:nvSpPr>
          <xdr:cNvPr id="57" name="Retângulo de cantos arredondados 37">
            <a:hlinkClick xmlns:r="http://schemas.openxmlformats.org/officeDocument/2006/relationships" r:id="rId2"/>
          </xdr:cNvPr>
          <xdr:cNvSpPr/>
        </xdr:nvSpPr>
        <xdr:spPr bwMode="auto">
          <a:xfrm>
            <a:off x="952500" y="2209800"/>
            <a:ext cx="1080000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Diretrizes</a:t>
            </a:r>
            <a:r>
              <a:rPr lang="pt-BR" sz="800" b="1" baseline="0">
                <a:latin typeface="Arial" panose="020B0604020202020204" pitchFamily="34" charset="0"/>
                <a:cs typeface="Arial" panose="020B0604020202020204" pitchFamily="34" charset="0"/>
              </a:rPr>
              <a:t> agrícolas brasileiras</a:t>
            </a:r>
            <a:endParaRPr lang="pt-BR" sz="8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38100</xdr:rowOff>
    </xdr:from>
    <xdr:to>
      <xdr:col>7</xdr:col>
      <xdr:colOff>92305</xdr:colOff>
      <xdr:row>12</xdr:row>
      <xdr:rowOff>20897</xdr:rowOff>
    </xdr:to>
    <xdr:grpSp>
      <xdr:nvGrpSpPr>
        <xdr:cNvPr id="85" name="Grupo 84"/>
        <xdr:cNvGrpSpPr>
          <a:grpSpLocks/>
        </xdr:cNvGrpSpPr>
      </xdr:nvGrpSpPr>
      <xdr:grpSpPr>
        <a:xfrm>
          <a:off x="257175" y="38100"/>
          <a:ext cx="9893530" cy="1925897"/>
          <a:chOff x="291285" y="47624"/>
          <a:chExt cx="9893530" cy="2024241"/>
        </a:xfrm>
      </xdr:grpSpPr>
      <xdr:grpSp>
        <xdr:nvGrpSpPr>
          <xdr:cNvPr id="86" name="Grupo 85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88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89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90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91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92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3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94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95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6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97" name="CaixaDeTexto 96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98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99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00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01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02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03" name="Retângulo de cantos arredondados 37">
              <a:hlinkClick xmlns:r="http://schemas.openxmlformats.org/officeDocument/2006/relationships" r:id="rId3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04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05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06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07" name="Imagem 106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08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09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10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11" name="Imagem 110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87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38100</xdr:rowOff>
    </xdr:from>
    <xdr:to>
      <xdr:col>17</xdr:col>
      <xdr:colOff>139930</xdr:colOff>
      <xdr:row>13</xdr:row>
      <xdr:rowOff>38108</xdr:rowOff>
    </xdr:to>
    <xdr:grpSp>
      <xdr:nvGrpSpPr>
        <xdr:cNvPr id="29" name="Grupo 28"/>
        <xdr:cNvGrpSpPr>
          <a:grpSpLocks/>
        </xdr:cNvGrpSpPr>
      </xdr:nvGrpSpPr>
      <xdr:grpSpPr>
        <a:xfrm>
          <a:off x="247650" y="38100"/>
          <a:ext cx="9893530" cy="2105033"/>
          <a:chOff x="291285" y="47624"/>
          <a:chExt cx="9893530" cy="2212522"/>
        </a:xfrm>
      </xdr:grpSpPr>
      <xdr:grpSp>
        <xdr:nvGrpSpPr>
          <xdr:cNvPr id="30" name="Grupo 29"/>
          <xdr:cNvGrpSpPr/>
        </xdr:nvGrpSpPr>
        <xdr:grpSpPr>
          <a:xfrm>
            <a:off x="291285" y="47624"/>
            <a:ext cx="9893530" cy="2212522"/>
            <a:chOff x="285746" y="161924"/>
            <a:chExt cx="10661906" cy="2212522"/>
          </a:xfrm>
        </xdr:grpSpPr>
        <xdr:sp macro="" textlink="">
          <xdr:nvSpPr>
            <xdr:cNvPr id="32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2182481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33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34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35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36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37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38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39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0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41" name="CaixaDeTexto 40"/>
            <xdr:cNvSpPr txBox="1"/>
          </xdr:nvSpPr>
          <xdr:spPr>
            <a:xfrm>
              <a:off x="7372725" y="2136322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42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43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44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45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46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47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48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49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50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51" name="Imagem 50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52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54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55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56" name="Imagem 55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31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66675</xdr:rowOff>
    </xdr:from>
    <xdr:to>
      <xdr:col>5</xdr:col>
      <xdr:colOff>990600</xdr:colOff>
      <xdr:row>12</xdr:row>
      <xdr:rowOff>57150</xdr:rowOff>
    </xdr:to>
    <xdr:grpSp>
      <xdr:nvGrpSpPr>
        <xdr:cNvPr id="52" name="Grupo 51"/>
        <xdr:cNvGrpSpPr/>
      </xdr:nvGrpSpPr>
      <xdr:grpSpPr>
        <a:xfrm>
          <a:off x="247650" y="1524000"/>
          <a:ext cx="8010525" cy="476250"/>
          <a:chOff x="266700" y="2152650"/>
          <a:chExt cx="8020069" cy="476250"/>
        </a:xfrm>
      </xdr:grpSpPr>
      <xdr:sp macro="" textlink="">
        <xdr:nvSpPr>
          <xdr:cNvPr id="53" name="Fluxograma: Processo 60"/>
          <xdr:cNvSpPr>
            <a:spLocks noChangeArrowheads="1"/>
          </xdr:cNvSpPr>
        </xdr:nvSpPr>
        <xdr:spPr bwMode="auto">
          <a:xfrm>
            <a:off x="276225" y="2152650"/>
            <a:ext cx="8010544" cy="476250"/>
          </a:xfrm>
          <a:prstGeom prst="flowChartProcess">
            <a:avLst/>
          </a:prstGeom>
          <a:solidFill>
            <a:schemeClr val="bg2">
              <a:lumMod val="90000"/>
            </a:schemeClr>
          </a:solidFill>
          <a:ln w="19050" algn="ctr">
            <a:solidFill>
              <a:schemeClr val="bg2">
                <a:lumMod val="50000"/>
              </a:schemeClr>
            </a:solidFill>
            <a:round/>
            <a:headEnd/>
            <a:tailEnd/>
          </a:ln>
          <a:effectLst/>
        </xdr:spPr>
        <xdr:txBody>
          <a:bodyPr/>
          <a:lstStyle/>
          <a:p>
            <a:pPr algn="r"/>
            <a:endParaRPr lang="pt-BR" sz="9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4" name="Fluxograma: Processo 59"/>
          <xdr:cNvSpPr/>
        </xdr:nvSpPr>
        <xdr:spPr bwMode="auto">
          <a:xfrm>
            <a:off x="266700" y="2228850"/>
            <a:ext cx="647700" cy="323849"/>
          </a:xfrm>
          <a:prstGeom prst="flowChartProcess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1000" b="1">
                <a:latin typeface="Arial" panose="020B0604020202020204" pitchFamily="34" charset="0"/>
                <a:cs typeface="Arial" panose="020B0604020202020204" pitchFamily="34" charset="0"/>
              </a:rPr>
              <a:t>Opções</a:t>
            </a:r>
          </a:p>
        </xdr:txBody>
      </xdr:sp>
      <xdr:sp macro="[0]!EstaPasta_de_trabalho.SalvarInventario" textlink="">
        <xdr:nvSpPr>
          <xdr:cNvPr id="56" name="Retângulo de cantos arredondados 37"/>
          <xdr:cNvSpPr/>
        </xdr:nvSpPr>
        <xdr:spPr bwMode="auto">
          <a:xfrm>
            <a:off x="952443" y="22098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  <xdr:sp macro="[0]!EstaPasta_de_trabalho.ImprimirRelatorioPDF" textlink="">
        <xdr:nvSpPr>
          <xdr:cNvPr id="57" name="Retângulo de cantos arredondados 37"/>
          <xdr:cNvSpPr/>
        </xdr:nvSpPr>
        <xdr:spPr bwMode="auto">
          <a:xfrm>
            <a:off x="1857330" y="22098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Imprimir</a:t>
            </a:r>
            <a:r>
              <a:rPr lang="pt-BR" sz="800" b="1" baseline="0">
                <a:latin typeface="Arial" panose="020B0604020202020204" pitchFamily="34" charset="0"/>
                <a:cs typeface="Arial" panose="020B0604020202020204" pitchFamily="34" charset="0"/>
              </a:rPr>
              <a:t> inventário</a:t>
            </a:r>
            <a:endParaRPr lang="pt-BR" sz="8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38100</xdr:rowOff>
    </xdr:from>
    <xdr:to>
      <xdr:col>7</xdr:col>
      <xdr:colOff>787630</xdr:colOff>
      <xdr:row>12</xdr:row>
      <xdr:rowOff>20897</xdr:rowOff>
    </xdr:to>
    <xdr:grpSp>
      <xdr:nvGrpSpPr>
        <xdr:cNvPr id="84" name="Grupo 83"/>
        <xdr:cNvGrpSpPr>
          <a:grpSpLocks/>
        </xdr:cNvGrpSpPr>
      </xdr:nvGrpSpPr>
      <xdr:grpSpPr>
        <a:xfrm>
          <a:off x="257175" y="38100"/>
          <a:ext cx="9893530" cy="1925897"/>
          <a:chOff x="291285" y="47624"/>
          <a:chExt cx="9893530" cy="2024241"/>
        </a:xfrm>
      </xdr:grpSpPr>
      <xdr:grpSp>
        <xdr:nvGrpSpPr>
          <xdr:cNvPr id="85" name="Grupo 84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87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88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89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90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91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2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93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94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5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96" name="CaixaDeTexto 95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97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98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99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00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01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02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03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04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05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06" name="Imagem 105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07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08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09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10" name="Imagem 109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86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38100</xdr:rowOff>
    </xdr:from>
    <xdr:to>
      <xdr:col>5</xdr:col>
      <xdr:colOff>1282930</xdr:colOff>
      <xdr:row>13</xdr:row>
      <xdr:rowOff>9526</xdr:rowOff>
    </xdr:to>
    <xdr:grpSp>
      <xdr:nvGrpSpPr>
        <xdr:cNvPr id="27" name="Grupo 26"/>
        <xdr:cNvGrpSpPr>
          <a:grpSpLocks/>
        </xdr:cNvGrpSpPr>
      </xdr:nvGrpSpPr>
      <xdr:grpSpPr>
        <a:xfrm>
          <a:off x="247650" y="38100"/>
          <a:ext cx="9893530" cy="2076451"/>
          <a:chOff x="291285" y="47624"/>
          <a:chExt cx="9893530" cy="2182483"/>
        </a:xfrm>
      </xdr:grpSpPr>
      <xdr:grpSp>
        <xdr:nvGrpSpPr>
          <xdr:cNvPr id="28" name="Grupo 27"/>
          <xdr:cNvGrpSpPr/>
        </xdr:nvGrpSpPr>
        <xdr:grpSpPr>
          <a:xfrm>
            <a:off x="291285" y="47624"/>
            <a:ext cx="9893530" cy="2182483"/>
            <a:chOff x="285746" y="161924"/>
            <a:chExt cx="10661906" cy="2182483"/>
          </a:xfrm>
        </xdr:grpSpPr>
        <xdr:sp macro="" textlink="">
          <xdr:nvSpPr>
            <xdr:cNvPr id="30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2152448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31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32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33" name="Retângulo de cantos arredondados 55"/>
            <xdr:cNvSpPr/>
          </xdr:nvSpPr>
          <xdr:spPr bwMode="auto">
            <a:xfrm>
              <a:off x="6898216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34" name="Retângulo de cantos arredondados 56"/>
            <xdr:cNvSpPr/>
          </xdr:nvSpPr>
          <xdr:spPr bwMode="auto">
            <a:xfrm>
              <a:off x="7872433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35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36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37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38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39" name="CaixaDeTexto 38"/>
            <xdr:cNvSpPr txBox="1"/>
          </xdr:nvSpPr>
          <xdr:spPr>
            <a:xfrm>
              <a:off x="7372725" y="2106283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40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41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42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43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44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45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46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47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48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49" name="Imagem 48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50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51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77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78" name="Imagem 77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29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0</xdr:row>
      <xdr:rowOff>38099</xdr:rowOff>
    </xdr:from>
    <xdr:to>
      <xdr:col>7</xdr:col>
      <xdr:colOff>397105</xdr:colOff>
      <xdr:row>12</xdr:row>
      <xdr:rowOff>28576</xdr:rowOff>
    </xdr:to>
    <xdr:grpSp>
      <xdr:nvGrpSpPr>
        <xdr:cNvPr id="52" name="Grupo 51"/>
        <xdr:cNvGrpSpPr>
          <a:grpSpLocks/>
        </xdr:cNvGrpSpPr>
      </xdr:nvGrpSpPr>
      <xdr:grpSpPr>
        <a:xfrm>
          <a:off x="257175" y="38099"/>
          <a:ext cx="9893530" cy="1933577"/>
          <a:chOff x="291285" y="47623"/>
          <a:chExt cx="9893530" cy="2032314"/>
        </a:xfrm>
      </xdr:grpSpPr>
      <xdr:grpSp>
        <xdr:nvGrpSpPr>
          <xdr:cNvPr id="53" name="Grupo 52"/>
          <xdr:cNvGrpSpPr/>
        </xdr:nvGrpSpPr>
        <xdr:grpSpPr>
          <a:xfrm>
            <a:off x="291285" y="47623"/>
            <a:ext cx="9893530" cy="2032314"/>
            <a:chOff x="285746" y="161923"/>
            <a:chExt cx="10661906" cy="2032314"/>
          </a:xfrm>
        </xdr:grpSpPr>
        <xdr:sp macro="" textlink="">
          <xdr:nvSpPr>
            <xdr:cNvPr id="55" name="Fluxograma: Processo 60"/>
            <xdr:cNvSpPr>
              <a:spLocks noChangeArrowheads="1"/>
            </xdr:cNvSpPr>
          </xdr:nvSpPr>
          <xdr:spPr bwMode="auto">
            <a:xfrm>
              <a:off x="290046" y="161923"/>
              <a:ext cx="8619573" cy="2002277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56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57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58" name="Retângulo de cantos arredondados 55"/>
            <xdr:cNvSpPr/>
          </xdr:nvSpPr>
          <xdr:spPr bwMode="auto">
            <a:xfrm>
              <a:off x="6898216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59" name="Retângulo de cantos arredondados 56"/>
            <xdr:cNvSpPr/>
          </xdr:nvSpPr>
          <xdr:spPr bwMode="auto">
            <a:xfrm>
              <a:off x="7872433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60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61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62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63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64" name="CaixaDeTexto 63"/>
            <xdr:cNvSpPr txBox="1"/>
          </xdr:nvSpPr>
          <xdr:spPr>
            <a:xfrm>
              <a:off x="7372725" y="1956113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65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66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67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68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69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70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71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72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73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74" name="Imagem 73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75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76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77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78" name="Imagem 77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54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76200</xdr:rowOff>
    </xdr:from>
    <xdr:to>
      <xdr:col>10</xdr:col>
      <xdr:colOff>101830</xdr:colOff>
      <xdr:row>12</xdr:row>
      <xdr:rowOff>58997</xdr:rowOff>
    </xdr:to>
    <xdr:grpSp>
      <xdr:nvGrpSpPr>
        <xdr:cNvPr id="79" name="Grupo 78"/>
        <xdr:cNvGrpSpPr>
          <a:grpSpLocks/>
        </xdr:cNvGrpSpPr>
      </xdr:nvGrpSpPr>
      <xdr:grpSpPr>
        <a:xfrm>
          <a:off x="247650" y="76200"/>
          <a:ext cx="9893530" cy="1925897"/>
          <a:chOff x="291285" y="47624"/>
          <a:chExt cx="9893530" cy="2024241"/>
        </a:xfrm>
      </xdr:grpSpPr>
      <xdr:grpSp>
        <xdr:nvGrpSpPr>
          <xdr:cNvPr id="80" name="Grupo 79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82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83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84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85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86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87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88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89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0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91" name="CaixaDeTexto 90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92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93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94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95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96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97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98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99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00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01" name="Imagem 100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02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03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04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05" name="Imagem 104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81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85725</xdr:rowOff>
    </xdr:from>
    <xdr:to>
      <xdr:col>5</xdr:col>
      <xdr:colOff>704850</xdr:colOff>
      <xdr:row>12</xdr:row>
      <xdr:rowOff>76200</xdr:rowOff>
    </xdr:to>
    <xdr:grpSp>
      <xdr:nvGrpSpPr>
        <xdr:cNvPr id="3" name="Grupo 2"/>
        <xdr:cNvGrpSpPr/>
      </xdr:nvGrpSpPr>
      <xdr:grpSpPr>
        <a:xfrm>
          <a:off x="247650" y="1543050"/>
          <a:ext cx="8010525" cy="476250"/>
          <a:chOff x="228600" y="2047875"/>
          <a:chExt cx="8010525" cy="476250"/>
        </a:xfrm>
      </xdr:grpSpPr>
      <xdr:grpSp>
        <xdr:nvGrpSpPr>
          <xdr:cNvPr id="131" name="Grupo 130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132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33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Soja.limparFormularioSoja" textlink="">
          <xdr:nvSpPr>
            <xdr:cNvPr id="134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136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47625</xdr:rowOff>
    </xdr:from>
    <xdr:to>
      <xdr:col>8</xdr:col>
      <xdr:colOff>82780</xdr:colOff>
      <xdr:row>12</xdr:row>
      <xdr:rowOff>30422</xdr:rowOff>
    </xdr:to>
    <xdr:grpSp>
      <xdr:nvGrpSpPr>
        <xdr:cNvPr id="60" name="Grupo 59"/>
        <xdr:cNvGrpSpPr>
          <a:grpSpLocks/>
        </xdr:cNvGrpSpPr>
      </xdr:nvGrpSpPr>
      <xdr:grpSpPr>
        <a:xfrm>
          <a:off x="257175" y="47625"/>
          <a:ext cx="9893530" cy="1925897"/>
          <a:chOff x="291285" y="47624"/>
          <a:chExt cx="9893530" cy="2024241"/>
        </a:xfrm>
      </xdr:grpSpPr>
      <xdr:grpSp>
        <xdr:nvGrpSpPr>
          <xdr:cNvPr id="61" name="Grupo 60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63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64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65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66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67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68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69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70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71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72" name="CaixaDeTexto 71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73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74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75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76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77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78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79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80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81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82" name="Imagem 81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83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84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85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86" name="Imagem 85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62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95250</xdr:rowOff>
    </xdr:from>
    <xdr:to>
      <xdr:col>5</xdr:col>
      <xdr:colOff>704850</xdr:colOff>
      <xdr:row>12</xdr:row>
      <xdr:rowOff>85725</xdr:rowOff>
    </xdr:to>
    <xdr:grpSp>
      <xdr:nvGrpSpPr>
        <xdr:cNvPr id="117" name="Grupo 116"/>
        <xdr:cNvGrpSpPr/>
      </xdr:nvGrpSpPr>
      <xdr:grpSpPr>
        <a:xfrm>
          <a:off x="247650" y="1552575"/>
          <a:ext cx="8010525" cy="476250"/>
          <a:chOff x="228600" y="2047875"/>
          <a:chExt cx="8010525" cy="476250"/>
        </a:xfrm>
      </xdr:grpSpPr>
      <xdr:grpSp>
        <xdr:nvGrpSpPr>
          <xdr:cNvPr id="118" name="Grupo 117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120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21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Milho.limparFormularioMilho" textlink="">
          <xdr:nvSpPr>
            <xdr:cNvPr id="122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119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57150</xdr:rowOff>
    </xdr:from>
    <xdr:to>
      <xdr:col>8</xdr:col>
      <xdr:colOff>82780</xdr:colOff>
      <xdr:row>12</xdr:row>
      <xdr:rowOff>39947</xdr:rowOff>
    </xdr:to>
    <xdr:grpSp>
      <xdr:nvGrpSpPr>
        <xdr:cNvPr id="123" name="Grupo 122"/>
        <xdr:cNvGrpSpPr>
          <a:grpSpLocks/>
        </xdr:cNvGrpSpPr>
      </xdr:nvGrpSpPr>
      <xdr:grpSpPr>
        <a:xfrm>
          <a:off x="257175" y="57150"/>
          <a:ext cx="9893530" cy="1925897"/>
          <a:chOff x="291285" y="47624"/>
          <a:chExt cx="9893530" cy="2024241"/>
        </a:xfrm>
      </xdr:grpSpPr>
      <xdr:grpSp>
        <xdr:nvGrpSpPr>
          <xdr:cNvPr id="124" name="Grupo 123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126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127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128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129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130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31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132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133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34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135" name="CaixaDeTexto 134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136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137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38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39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40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41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42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43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44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45" name="Imagem 144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46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47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48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49" name="Imagem 148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125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85725</xdr:rowOff>
    </xdr:from>
    <xdr:to>
      <xdr:col>5</xdr:col>
      <xdr:colOff>704850</xdr:colOff>
      <xdr:row>12</xdr:row>
      <xdr:rowOff>76200</xdr:rowOff>
    </xdr:to>
    <xdr:grpSp>
      <xdr:nvGrpSpPr>
        <xdr:cNvPr id="90" name="Grupo 89"/>
        <xdr:cNvGrpSpPr/>
      </xdr:nvGrpSpPr>
      <xdr:grpSpPr>
        <a:xfrm>
          <a:off x="247650" y="1543050"/>
          <a:ext cx="8010525" cy="476250"/>
          <a:chOff x="228600" y="2047875"/>
          <a:chExt cx="8010525" cy="476250"/>
        </a:xfrm>
      </xdr:grpSpPr>
      <xdr:grpSp>
        <xdr:nvGrpSpPr>
          <xdr:cNvPr id="91" name="Grupo 90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93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4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Algodao.limparFormularioAlgodao" textlink="">
          <xdr:nvSpPr>
            <xdr:cNvPr id="95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92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47625</xdr:rowOff>
    </xdr:from>
    <xdr:to>
      <xdr:col>8</xdr:col>
      <xdr:colOff>82780</xdr:colOff>
      <xdr:row>12</xdr:row>
      <xdr:rowOff>30422</xdr:rowOff>
    </xdr:to>
    <xdr:grpSp>
      <xdr:nvGrpSpPr>
        <xdr:cNvPr id="96" name="Grupo 95"/>
        <xdr:cNvGrpSpPr>
          <a:grpSpLocks/>
        </xdr:cNvGrpSpPr>
      </xdr:nvGrpSpPr>
      <xdr:grpSpPr>
        <a:xfrm>
          <a:off x="257175" y="47625"/>
          <a:ext cx="9893530" cy="1925897"/>
          <a:chOff x="291285" y="47624"/>
          <a:chExt cx="9893530" cy="2024241"/>
        </a:xfrm>
      </xdr:grpSpPr>
      <xdr:grpSp>
        <xdr:nvGrpSpPr>
          <xdr:cNvPr id="97" name="Grupo 96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99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100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101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102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103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4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105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106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7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108" name="CaixaDeTexto 107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109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110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11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12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13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14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15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16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17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18" name="Imagem 117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19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20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21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22" name="Imagem 121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98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95250</xdr:rowOff>
    </xdr:from>
    <xdr:to>
      <xdr:col>6</xdr:col>
      <xdr:colOff>95250</xdr:colOff>
      <xdr:row>12</xdr:row>
      <xdr:rowOff>85725</xdr:rowOff>
    </xdr:to>
    <xdr:grpSp>
      <xdr:nvGrpSpPr>
        <xdr:cNvPr id="90" name="Grupo 89"/>
        <xdr:cNvGrpSpPr/>
      </xdr:nvGrpSpPr>
      <xdr:grpSpPr>
        <a:xfrm>
          <a:off x="247650" y="1552575"/>
          <a:ext cx="8010525" cy="476250"/>
          <a:chOff x="228600" y="2047875"/>
          <a:chExt cx="8010525" cy="476250"/>
        </a:xfrm>
      </xdr:grpSpPr>
      <xdr:grpSp>
        <xdr:nvGrpSpPr>
          <xdr:cNvPr id="91" name="Grupo 90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93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4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Trigo.limparFormularioTrigo" textlink="">
          <xdr:nvSpPr>
            <xdr:cNvPr id="95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92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47625</xdr:rowOff>
    </xdr:from>
    <xdr:to>
      <xdr:col>9</xdr:col>
      <xdr:colOff>158980</xdr:colOff>
      <xdr:row>12</xdr:row>
      <xdr:rowOff>30422</xdr:rowOff>
    </xdr:to>
    <xdr:grpSp>
      <xdr:nvGrpSpPr>
        <xdr:cNvPr id="96" name="Grupo 95"/>
        <xdr:cNvGrpSpPr>
          <a:grpSpLocks/>
        </xdr:cNvGrpSpPr>
      </xdr:nvGrpSpPr>
      <xdr:grpSpPr>
        <a:xfrm>
          <a:off x="257175" y="47625"/>
          <a:ext cx="9893530" cy="1925897"/>
          <a:chOff x="291285" y="47624"/>
          <a:chExt cx="9893530" cy="2024241"/>
        </a:xfrm>
      </xdr:grpSpPr>
      <xdr:grpSp>
        <xdr:nvGrpSpPr>
          <xdr:cNvPr id="97" name="Grupo 96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99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100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101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102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103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4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105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106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7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108" name="CaixaDeTexto 107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109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110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11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12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13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14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15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16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17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18" name="Imagem 117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19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20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21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22" name="Imagem 121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98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95250</xdr:rowOff>
    </xdr:from>
    <xdr:to>
      <xdr:col>6</xdr:col>
      <xdr:colOff>0</xdr:colOff>
      <xdr:row>12</xdr:row>
      <xdr:rowOff>85725</xdr:rowOff>
    </xdr:to>
    <xdr:grpSp>
      <xdr:nvGrpSpPr>
        <xdr:cNvPr id="90" name="Grupo 89"/>
        <xdr:cNvGrpSpPr/>
      </xdr:nvGrpSpPr>
      <xdr:grpSpPr>
        <a:xfrm>
          <a:off x="247650" y="1552575"/>
          <a:ext cx="8010525" cy="476250"/>
          <a:chOff x="228600" y="2047875"/>
          <a:chExt cx="8010525" cy="476250"/>
        </a:xfrm>
      </xdr:grpSpPr>
      <xdr:grpSp>
        <xdr:nvGrpSpPr>
          <xdr:cNvPr id="91" name="Grupo 90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93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4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Arroz.limparFormularioArroz" textlink="">
          <xdr:nvSpPr>
            <xdr:cNvPr id="95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92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47625</xdr:rowOff>
    </xdr:from>
    <xdr:to>
      <xdr:col>9</xdr:col>
      <xdr:colOff>63730</xdr:colOff>
      <xdr:row>12</xdr:row>
      <xdr:rowOff>30422</xdr:rowOff>
    </xdr:to>
    <xdr:grpSp>
      <xdr:nvGrpSpPr>
        <xdr:cNvPr id="96" name="Grupo 95"/>
        <xdr:cNvGrpSpPr>
          <a:grpSpLocks/>
        </xdr:cNvGrpSpPr>
      </xdr:nvGrpSpPr>
      <xdr:grpSpPr>
        <a:xfrm>
          <a:off x="257175" y="47625"/>
          <a:ext cx="9893530" cy="1925897"/>
          <a:chOff x="291285" y="47624"/>
          <a:chExt cx="9893530" cy="2024241"/>
        </a:xfrm>
      </xdr:grpSpPr>
      <xdr:grpSp>
        <xdr:nvGrpSpPr>
          <xdr:cNvPr id="97" name="Grupo 96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99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100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101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102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103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4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105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106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7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108" name="CaixaDeTexto 107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109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110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11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12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13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14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15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16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17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18" name="Imagem 117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19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20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21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22" name="Imagem 121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98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104775</xdr:rowOff>
    </xdr:from>
    <xdr:to>
      <xdr:col>5</xdr:col>
      <xdr:colOff>476250</xdr:colOff>
      <xdr:row>12</xdr:row>
      <xdr:rowOff>95250</xdr:rowOff>
    </xdr:to>
    <xdr:grpSp>
      <xdr:nvGrpSpPr>
        <xdr:cNvPr id="90" name="Grupo 89"/>
        <xdr:cNvGrpSpPr/>
      </xdr:nvGrpSpPr>
      <xdr:grpSpPr>
        <a:xfrm>
          <a:off x="247650" y="1562100"/>
          <a:ext cx="8010525" cy="476250"/>
          <a:chOff x="228600" y="2047875"/>
          <a:chExt cx="8010525" cy="476250"/>
        </a:xfrm>
      </xdr:grpSpPr>
      <xdr:grpSp>
        <xdr:nvGrpSpPr>
          <xdr:cNvPr id="91" name="Grupo 90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93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4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Feijao.limparFormularioFeijao" textlink="">
          <xdr:nvSpPr>
            <xdr:cNvPr id="95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92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57150</xdr:rowOff>
    </xdr:from>
    <xdr:to>
      <xdr:col>8</xdr:col>
      <xdr:colOff>539980</xdr:colOff>
      <xdr:row>12</xdr:row>
      <xdr:rowOff>39947</xdr:rowOff>
    </xdr:to>
    <xdr:grpSp>
      <xdr:nvGrpSpPr>
        <xdr:cNvPr id="96" name="Grupo 95"/>
        <xdr:cNvGrpSpPr>
          <a:grpSpLocks/>
        </xdr:cNvGrpSpPr>
      </xdr:nvGrpSpPr>
      <xdr:grpSpPr>
        <a:xfrm>
          <a:off x="257175" y="57150"/>
          <a:ext cx="9893530" cy="1925897"/>
          <a:chOff x="291285" y="47624"/>
          <a:chExt cx="9893530" cy="2024241"/>
        </a:xfrm>
      </xdr:grpSpPr>
      <xdr:grpSp>
        <xdr:nvGrpSpPr>
          <xdr:cNvPr id="97" name="Grupo 96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99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100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101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102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103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4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105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106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7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108" name="CaixaDeTexto 107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109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110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11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12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13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14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15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16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17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18" name="Imagem 117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19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20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21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22" name="Imagem 121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98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85725</xdr:rowOff>
    </xdr:from>
    <xdr:to>
      <xdr:col>6</xdr:col>
      <xdr:colOff>95250</xdr:colOff>
      <xdr:row>12</xdr:row>
      <xdr:rowOff>76200</xdr:rowOff>
    </xdr:to>
    <xdr:grpSp>
      <xdr:nvGrpSpPr>
        <xdr:cNvPr id="90" name="Grupo 89"/>
        <xdr:cNvGrpSpPr/>
      </xdr:nvGrpSpPr>
      <xdr:grpSpPr>
        <a:xfrm>
          <a:off x="247650" y="1543050"/>
          <a:ext cx="8010525" cy="476250"/>
          <a:chOff x="228600" y="2047875"/>
          <a:chExt cx="8010525" cy="476250"/>
        </a:xfrm>
      </xdr:grpSpPr>
      <xdr:grpSp>
        <xdr:nvGrpSpPr>
          <xdr:cNvPr id="91" name="Grupo 90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93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4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Cana.limparFormularioCana" textlink="">
          <xdr:nvSpPr>
            <xdr:cNvPr id="95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92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47625</xdr:rowOff>
    </xdr:from>
    <xdr:to>
      <xdr:col>8</xdr:col>
      <xdr:colOff>635230</xdr:colOff>
      <xdr:row>12</xdr:row>
      <xdr:rowOff>30422</xdr:rowOff>
    </xdr:to>
    <xdr:grpSp>
      <xdr:nvGrpSpPr>
        <xdr:cNvPr id="96" name="Grupo 95"/>
        <xdr:cNvGrpSpPr>
          <a:grpSpLocks/>
        </xdr:cNvGrpSpPr>
      </xdr:nvGrpSpPr>
      <xdr:grpSpPr>
        <a:xfrm>
          <a:off x="257175" y="47625"/>
          <a:ext cx="9893530" cy="1925897"/>
          <a:chOff x="291285" y="47624"/>
          <a:chExt cx="9893530" cy="2024241"/>
        </a:xfrm>
      </xdr:grpSpPr>
      <xdr:grpSp>
        <xdr:nvGrpSpPr>
          <xdr:cNvPr id="97" name="Grupo 96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99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100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101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102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103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4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105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106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7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108" name="CaixaDeTexto 107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109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110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11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12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13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14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15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16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17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18" name="Imagem 117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19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20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21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22" name="Imagem 121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98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85725</xdr:rowOff>
    </xdr:from>
    <xdr:to>
      <xdr:col>5</xdr:col>
      <xdr:colOff>800100</xdr:colOff>
      <xdr:row>12</xdr:row>
      <xdr:rowOff>76200</xdr:rowOff>
    </xdr:to>
    <xdr:grpSp>
      <xdr:nvGrpSpPr>
        <xdr:cNvPr id="90" name="Grupo 89"/>
        <xdr:cNvGrpSpPr/>
      </xdr:nvGrpSpPr>
      <xdr:grpSpPr>
        <a:xfrm>
          <a:off x="247650" y="1543050"/>
          <a:ext cx="8010525" cy="476250"/>
          <a:chOff x="228600" y="2047875"/>
          <a:chExt cx="8010525" cy="476250"/>
        </a:xfrm>
      </xdr:grpSpPr>
      <xdr:grpSp>
        <xdr:nvGrpSpPr>
          <xdr:cNvPr id="91" name="Grupo 90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93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94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PecuariaPastagem.limparFormularioPecuariaPastagem" textlink="">
          <xdr:nvSpPr>
            <xdr:cNvPr id="95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92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47625</xdr:rowOff>
    </xdr:from>
    <xdr:to>
      <xdr:col>6</xdr:col>
      <xdr:colOff>911455</xdr:colOff>
      <xdr:row>12</xdr:row>
      <xdr:rowOff>30422</xdr:rowOff>
    </xdr:to>
    <xdr:grpSp>
      <xdr:nvGrpSpPr>
        <xdr:cNvPr id="96" name="Grupo 95"/>
        <xdr:cNvGrpSpPr>
          <a:grpSpLocks/>
        </xdr:cNvGrpSpPr>
      </xdr:nvGrpSpPr>
      <xdr:grpSpPr>
        <a:xfrm>
          <a:off x="257175" y="47625"/>
          <a:ext cx="9893530" cy="1925897"/>
          <a:chOff x="291285" y="47624"/>
          <a:chExt cx="9893530" cy="2024241"/>
        </a:xfrm>
      </xdr:grpSpPr>
      <xdr:grpSp>
        <xdr:nvGrpSpPr>
          <xdr:cNvPr id="97" name="Grupo 96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99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100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101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102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103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4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105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106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7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108" name="CaixaDeTexto 107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109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110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11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12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13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14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15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16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17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18" name="Imagem 117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19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20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21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22" name="Imagem 121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98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76200</xdr:rowOff>
    </xdr:from>
    <xdr:to>
      <xdr:col>13</xdr:col>
      <xdr:colOff>447675</xdr:colOff>
      <xdr:row>12</xdr:row>
      <xdr:rowOff>66675</xdr:rowOff>
    </xdr:to>
    <xdr:grpSp>
      <xdr:nvGrpSpPr>
        <xdr:cNvPr id="96" name="Grupo 95"/>
        <xdr:cNvGrpSpPr/>
      </xdr:nvGrpSpPr>
      <xdr:grpSpPr>
        <a:xfrm>
          <a:off x="247650" y="1533525"/>
          <a:ext cx="8010525" cy="476250"/>
          <a:chOff x="228600" y="2047875"/>
          <a:chExt cx="8010525" cy="476250"/>
        </a:xfrm>
      </xdr:grpSpPr>
      <xdr:grpSp>
        <xdr:nvGrpSpPr>
          <xdr:cNvPr id="97" name="Grupo 96"/>
          <xdr:cNvGrpSpPr/>
        </xdr:nvGrpSpPr>
        <xdr:grpSpPr>
          <a:xfrm>
            <a:off x="228600" y="2047875"/>
            <a:ext cx="8010525" cy="476250"/>
            <a:chOff x="266700" y="2152650"/>
            <a:chExt cx="8010525" cy="476250"/>
          </a:xfrm>
        </xdr:grpSpPr>
        <xdr:sp macro="" textlink="">
          <xdr:nvSpPr>
            <xdr:cNvPr id="99" name="Fluxograma: Processo 60"/>
            <xdr:cNvSpPr>
              <a:spLocks noChangeArrowheads="1"/>
            </xdr:cNvSpPr>
          </xdr:nvSpPr>
          <xdr:spPr bwMode="auto">
            <a:xfrm>
              <a:off x="276225" y="2152650"/>
              <a:ext cx="8001000" cy="476250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00" name="Fluxograma: Processo 59"/>
            <xdr:cNvSpPr/>
          </xdr:nvSpPr>
          <xdr:spPr bwMode="auto">
            <a:xfrm>
              <a:off x="266700" y="2228850"/>
              <a:ext cx="647700" cy="323849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Opções</a:t>
              </a:r>
            </a:p>
          </xdr:txBody>
        </xdr:sp>
        <xdr:sp macro="[0]!pConsumoEnergia.limparFormularioConsumoEnergia" textlink="">
          <xdr:nvSpPr>
            <xdr:cNvPr id="101" name="Retângulo de cantos arredondados 37"/>
            <xdr:cNvSpPr/>
          </xdr:nvSpPr>
          <xdr:spPr bwMode="auto">
            <a:xfrm>
              <a:off x="1866900" y="2200275"/>
              <a:ext cx="868544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Limpar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formulário</a:t>
              </a:r>
            </a:p>
          </xdr:txBody>
        </xdr:sp>
      </xdr:grpSp>
      <xdr:sp macro="[0]!EstaPasta_de_trabalho.SalvarInventario" textlink="">
        <xdr:nvSpPr>
          <xdr:cNvPr id="98" name="Retângulo de cantos arredondados 37"/>
          <xdr:cNvSpPr/>
        </xdr:nvSpPr>
        <xdr:spPr bwMode="auto">
          <a:xfrm>
            <a:off x="914400" y="2095500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 editAs="absolute">
    <xdr:from>
      <xdr:col>1</xdr:col>
      <xdr:colOff>9525</xdr:colOff>
      <xdr:row>0</xdr:row>
      <xdr:rowOff>38100</xdr:rowOff>
    </xdr:from>
    <xdr:to>
      <xdr:col>16</xdr:col>
      <xdr:colOff>378055</xdr:colOff>
      <xdr:row>12</xdr:row>
      <xdr:rowOff>20897</xdr:rowOff>
    </xdr:to>
    <xdr:grpSp>
      <xdr:nvGrpSpPr>
        <xdr:cNvPr id="102" name="Grupo 101"/>
        <xdr:cNvGrpSpPr>
          <a:grpSpLocks/>
        </xdr:cNvGrpSpPr>
      </xdr:nvGrpSpPr>
      <xdr:grpSpPr>
        <a:xfrm>
          <a:off x="257175" y="38100"/>
          <a:ext cx="9893530" cy="1925897"/>
          <a:chOff x="291285" y="47624"/>
          <a:chExt cx="9893530" cy="2024241"/>
        </a:xfrm>
      </xdr:grpSpPr>
      <xdr:grpSp>
        <xdr:nvGrpSpPr>
          <xdr:cNvPr id="103" name="Grupo 102"/>
          <xdr:cNvGrpSpPr/>
        </xdr:nvGrpSpPr>
        <xdr:grpSpPr>
          <a:xfrm>
            <a:off x="291285" y="47624"/>
            <a:ext cx="9893530" cy="2024241"/>
            <a:chOff x="285746" y="161924"/>
            <a:chExt cx="10661906" cy="2024241"/>
          </a:xfrm>
        </xdr:grpSpPr>
        <xdr:sp macro="" textlink="">
          <xdr:nvSpPr>
            <xdr:cNvPr id="105" name="Fluxograma: Processo 60"/>
            <xdr:cNvSpPr>
              <a:spLocks noChangeArrowheads="1"/>
            </xdr:cNvSpPr>
          </xdr:nvSpPr>
          <xdr:spPr bwMode="auto">
            <a:xfrm>
              <a:off x="290046" y="161924"/>
              <a:ext cx="8619573" cy="1531742"/>
            </a:xfrm>
            <a:prstGeom prst="flowChartProcess">
              <a:avLst/>
            </a:prstGeom>
            <a:solidFill>
              <a:schemeClr val="bg2">
                <a:lumMod val="90000"/>
              </a:schemeClr>
            </a:solidFill>
            <a:ln w="19050" algn="ctr">
              <a:solidFill>
                <a:schemeClr val="bg2">
                  <a:lumMod val="50000"/>
                </a:schemeClr>
              </a:solidFill>
              <a:round/>
              <a:headEnd/>
              <a:tailEnd/>
            </a:ln>
            <a:effectLst/>
          </xdr:spPr>
          <xdr:txBody>
            <a:bodyPr/>
            <a:lstStyle/>
            <a:p>
              <a:pPr algn="r"/>
              <a:endParaRPr lang="pt-BR" sz="9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Arroz.planilhaArroz" textlink="">
          <xdr:nvSpPr>
            <xdr:cNvPr id="106" name="Retângulo de cantos arredondados 38"/>
            <xdr:cNvSpPr/>
          </xdr:nvSpPr>
          <xdr:spPr bwMode="auto">
            <a:xfrm>
              <a:off x="4931592" y="837697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Arroz</a:t>
              </a:r>
            </a:p>
          </xdr:txBody>
        </xdr:sp>
        <xdr:sp macro="[0]!pSoja.planilhaSoja" textlink="">
          <xdr:nvSpPr>
            <xdr:cNvPr id="107" name="Retângulo de cantos arredondados 37"/>
            <xdr:cNvSpPr/>
          </xdr:nvSpPr>
          <xdr:spPr bwMode="auto">
            <a:xfrm>
              <a:off x="1018641" y="846296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Soja</a:t>
              </a:r>
            </a:p>
          </xdr:txBody>
        </xdr:sp>
        <xdr:sp macro="[0]!pCana.planilhaCana" textlink="">
          <xdr:nvSpPr>
            <xdr:cNvPr id="108" name="Retângulo de cantos arredondados 55"/>
            <xdr:cNvSpPr/>
          </xdr:nvSpPr>
          <xdr:spPr bwMode="auto">
            <a:xfrm>
              <a:off x="6887951" y="837879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Cana-de-açúcar</a:t>
              </a:r>
            </a:p>
          </xdr:txBody>
        </xdr:sp>
        <xdr:sp macro="[0]!pPecuariaPastagem.planilhaPecuaria" textlink="">
          <xdr:nvSpPr>
            <xdr:cNvPr id="109" name="Retângulo de cantos arredondados 56"/>
            <xdr:cNvSpPr/>
          </xdr:nvSpPr>
          <xdr:spPr bwMode="auto">
            <a:xfrm>
              <a:off x="7862168" y="83903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Pecuária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 pastagem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10" name="Fluxograma: Processo 59"/>
            <xdr:cNvSpPr/>
          </xdr:nvSpPr>
          <xdr:spPr bwMode="auto">
            <a:xfrm>
              <a:off x="287227" y="740883"/>
              <a:ext cx="771525" cy="53279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Atividade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agrícola</a:t>
              </a:r>
            </a:p>
          </xdr:txBody>
        </xdr:sp>
        <xdr:sp macro="" textlink="">
          <xdr:nvSpPr>
            <xdr:cNvPr id="111" name="Fluxograma: Processo 59"/>
            <xdr:cNvSpPr/>
          </xdr:nvSpPr>
          <xdr:spPr bwMode="auto">
            <a:xfrm>
              <a:off x="285746" y="180973"/>
              <a:ext cx="8603344" cy="241245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1000" b="1">
                  <a:latin typeface="Arial" panose="020B0604020202020204" pitchFamily="34" charset="0"/>
                  <a:cs typeface="Arial" panose="020B0604020202020204" pitchFamily="34" charset="0"/>
                </a:rPr>
                <a:t>Menu principal</a:t>
              </a:r>
            </a:p>
          </xdr:txBody>
        </xdr:sp>
        <xdr:sp macro="[0]!pSintese.planilhaSintese" textlink="">
          <xdr:nvSpPr>
            <xdr:cNvPr id="112" name="Retângulo de cantos arredondados 37"/>
            <xdr:cNvSpPr/>
          </xdr:nvSpPr>
          <xdr:spPr bwMode="auto">
            <a:xfrm>
              <a:off x="3957369" y="441267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Síntese das</a:t>
              </a:r>
              <a:endParaRPr lang="pt-BR" sz="8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algn="ctr"/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emissões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13" name="Fluxograma: Processo 59"/>
            <xdr:cNvSpPr/>
          </xdr:nvSpPr>
          <xdr:spPr bwMode="auto">
            <a:xfrm>
              <a:off x="297353" y="457965"/>
              <a:ext cx="588472" cy="332408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>
              <a:noAutofit/>
            </a:bodyPr>
            <a:lstStyle/>
            <a:p>
              <a:pPr lvl="0"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Geral</a:t>
              </a:r>
            </a:p>
          </xdr:txBody>
        </xdr:sp>
        <xdr:sp macro="" textlink="">
          <xdr:nvSpPr>
            <xdr:cNvPr id="114" name="CaixaDeTexto 113"/>
            <xdr:cNvSpPr txBox="1"/>
          </xdr:nvSpPr>
          <xdr:spPr>
            <a:xfrm>
              <a:off x="7372725" y="1465555"/>
              <a:ext cx="1570508" cy="2381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Versão 2.2</a:t>
              </a:r>
              <a:r>
                <a:rPr lang="pt-BR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- </a:t>
              </a:r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23/08/2015</a:t>
              </a:r>
            </a:p>
          </xdr:txBody>
        </xdr:sp>
        <xdr:sp macro="[0]!pMilho.planilhaMilho" textlink="">
          <xdr:nvSpPr>
            <xdr:cNvPr id="115" name="Retângulo de cantos arredondados 37"/>
            <xdr:cNvSpPr/>
          </xdr:nvSpPr>
          <xdr:spPr bwMode="auto">
            <a:xfrm>
              <a:off x="1998592" y="84597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Milho</a:t>
              </a:r>
            </a:p>
          </xdr:txBody>
        </xdr:sp>
        <xdr:sp macro="[0]!pAlgodao.planilhaAlgodao" textlink="">
          <xdr:nvSpPr>
            <xdr:cNvPr id="116" name="Retângulo de cantos arredondados 37"/>
            <xdr:cNvSpPr/>
          </xdr:nvSpPr>
          <xdr:spPr bwMode="auto">
            <a:xfrm>
              <a:off x="2980025" y="845643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Algodão</a:t>
              </a:r>
            </a:p>
          </xdr:txBody>
        </xdr:sp>
        <xdr:sp macro="[0]!pTrigo.planilhaTrigo" textlink="">
          <xdr:nvSpPr>
            <xdr:cNvPr id="117" name="Retângulo de cantos arredondados 37"/>
            <xdr:cNvSpPr/>
          </xdr:nvSpPr>
          <xdr:spPr bwMode="auto">
            <a:xfrm>
              <a:off x="3962207" y="845321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Trigo</a:t>
              </a:r>
            </a:p>
          </xdr:txBody>
        </xdr:sp>
        <xdr:sp macro="[0]!pFeijao.planilhaFeijao" textlink="">
          <xdr:nvSpPr>
            <xdr:cNvPr id="118" name="Retângulo de cantos arredondados 37"/>
            <xdr:cNvSpPr/>
          </xdr:nvSpPr>
          <xdr:spPr bwMode="auto">
            <a:xfrm>
              <a:off x="5915152" y="837915"/>
              <a:ext cx="936000" cy="360000"/>
            </a:xfrm>
            <a:prstGeom prst="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Feijão</a:t>
              </a:r>
            </a:p>
          </xdr:txBody>
        </xdr:sp>
        <xdr:sp macro="[0]!pEquipe.planilhaEquipe" textlink="">
          <xdr:nvSpPr>
            <xdr:cNvPr id="119" name="Retângulo de cantos arredondados 37"/>
            <xdr:cNvSpPr/>
          </xdr:nvSpPr>
          <xdr:spPr bwMode="auto">
            <a:xfrm>
              <a:off x="7862461" y="437744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Equipe</a:t>
              </a:r>
            </a:p>
          </xdr:txBody>
        </xdr:sp>
        <xdr:sp macro="" textlink="">
          <xdr:nvSpPr>
            <xdr:cNvPr id="120" name="Retângulo de cantos arredondados 37">
              <a:hlinkClick xmlns:r="http://schemas.openxmlformats.org/officeDocument/2006/relationships" r:id="rId1"/>
            </xdr:cNvPr>
            <xdr:cNvSpPr/>
          </xdr:nvSpPr>
          <xdr:spPr bwMode="auto">
            <a:xfrm>
              <a:off x="4931335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Metodologia</a:t>
              </a:r>
            </a:p>
          </xdr:txBody>
        </xdr:sp>
        <xdr:sp macro="" textlink="">
          <xdr:nvSpPr>
            <xdr:cNvPr id="121" name="Fluxograma: Processo 59"/>
            <xdr:cNvSpPr/>
          </xdr:nvSpPr>
          <xdr:spPr bwMode="auto">
            <a:xfrm>
              <a:off x="300311" y="1229377"/>
              <a:ext cx="656944" cy="447672"/>
            </a:xfrm>
            <a:prstGeom prst="flowChartProcess">
              <a:avLst/>
            </a:prstGeom>
            <a:noFill/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90000" tIns="46800" rIns="90000" bIns="46800" rtlCol="0" anchor="ctr" upright="1"/>
            <a:lstStyle/>
            <a:p>
              <a:pPr algn="l"/>
              <a:r>
                <a:rPr lang="pt-BR" sz="900" b="1">
                  <a:latin typeface="Arial" panose="020B0604020202020204" pitchFamily="34" charset="0"/>
                  <a:cs typeface="Arial" panose="020B0604020202020204" pitchFamily="34" charset="0"/>
                </a:rPr>
                <a:t>Energia</a:t>
              </a:r>
            </a:p>
          </xdr:txBody>
        </xdr:sp>
        <xdr:sp macro="[0]!pConsumoEnergia.planilhaConsumoEnergia" textlink="">
          <xdr:nvSpPr>
            <xdr:cNvPr id="122" name="Retângulo de cantos arredondados 37"/>
            <xdr:cNvSpPr/>
          </xdr:nvSpPr>
          <xdr:spPr bwMode="auto">
            <a:xfrm>
              <a:off x="1016981" y="1256704"/>
              <a:ext cx="936000" cy="360000"/>
            </a:xfrm>
            <a:prstGeom prst="rect">
              <a:avLst/>
            </a:prstGeom>
            <a:solidFill>
              <a:schemeClr val="accent6"/>
            </a:solidFill>
            <a:ln>
              <a:solidFill>
                <a:sysClr val="windowText" lastClr="000000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numCol="1" rtlCol="0" anchor="ctr" anchorCtr="0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Compra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de energia</a:t>
              </a:r>
              <a:r>
                <a:rPr lang="pt-BR" sz="800" b="1" baseline="0">
                  <a:latin typeface="Arial" panose="020B0604020202020204" pitchFamily="34" charset="0"/>
                  <a:cs typeface="Arial" panose="020B0604020202020204" pitchFamily="34" charset="0"/>
                </a:rPr>
                <a:t> elétrica </a:t>
              </a:r>
              <a:endParaRPr lang="pt-BR" sz="8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[0]!pIntroducao.planilhaIntroducao" textlink="">
          <xdr:nvSpPr>
            <xdr:cNvPr id="123" name="Retângulo de cantos arredondados 37"/>
            <xdr:cNvSpPr/>
          </xdr:nvSpPr>
          <xdr:spPr bwMode="auto">
            <a:xfrm>
              <a:off x="2000250" y="441673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Introdução</a:t>
              </a:r>
            </a:p>
          </xdr:txBody>
        </xdr:sp>
        <xdr:pic>
          <xdr:nvPicPr>
            <xdr:cNvPr id="124" name="Imagem 123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8994652" y="1843835"/>
              <a:ext cx="1953000" cy="342330"/>
            </a:xfrm>
            <a:prstGeom prst="rect">
              <a:avLst/>
            </a:prstGeom>
            <a:noFill/>
            <a:ln>
              <a:noFill/>
            </a:ln>
          </xdr:spPr>
        </xdr:pic>
        <xdr:sp macro="[0]!pInicio.planilhaInicio" textlink="">
          <xdr:nvSpPr>
            <xdr:cNvPr id="125" name="Retângulo de cantos arredondados 37"/>
            <xdr:cNvSpPr/>
          </xdr:nvSpPr>
          <xdr:spPr bwMode="auto">
            <a:xfrm>
              <a:off x="1019915" y="438150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Início</a:t>
              </a:r>
            </a:p>
          </xdr:txBody>
        </xdr:sp>
        <xdr:sp macro="[0]!pFatoresEmissao.planilhaFatoresEmissao" textlink="">
          <xdr:nvSpPr>
            <xdr:cNvPr id="126" name="Retângulo de cantos arredondados 37"/>
            <xdr:cNvSpPr/>
          </xdr:nvSpPr>
          <xdr:spPr bwMode="auto">
            <a:xfrm>
              <a:off x="591344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 de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emissão</a:t>
              </a:r>
            </a:p>
          </xdr:txBody>
        </xdr:sp>
        <xdr:sp macro="[0]!pFatoresVariaveis.planilhaFatoresVariaveis" textlink="">
          <xdr:nvSpPr>
            <xdr:cNvPr id="127" name="Retângulo de cantos arredondados 37"/>
            <xdr:cNvSpPr/>
          </xdr:nvSpPr>
          <xdr:spPr bwMode="auto">
            <a:xfrm>
              <a:off x="6884253" y="437745"/>
              <a:ext cx="936000" cy="360000"/>
            </a:xfrm>
            <a:prstGeom prst="rect">
              <a:avLst/>
            </a:prstGeom>
            <a:solidFill>
              <a:schemeClr val="accent2"/>
            </a:solidFill>
            <a:ln>
              <a:solidFill>
                <a:schemeClr val="tx1"/>
              </a:solidFill>
              <a:headEnd type="none" w="med" len="med"/>
              <a:tailEnd type="none" w="med" len="med"/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wrap="square" lIns="18288" tIns="0" rIns="0" bIns="0" rtlCol="0" anchor="ctr" upright="1"/>
            <a:lstStyle/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Fatores</a:t>
              </a:r>
            </a:p>
            <a:p>
              <a:pPr algn="ctr"/>
              <a:r>
                <a:rPr lang="pt-BR" sz="800" b="1">
                  <a:latin typeface="Arial" panose="020B0604020202020204" pitchFamily="34" charset="0"/>
                  <a:cs typeface="Arial" panose="020B0604020202020204" pitchFamily="34" charset="0"/>
                </a:rPr>
                <a:t>variáveis</a:t>
              </a:r>
            </a:p>
          </xdr:txBody>
        </xdr:sp>
        <xdr:pic>
          <xdr:nvPicPr>
            <xdr:cNvPr id="128" name="Imagem 127"/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9133931" y="232557"/>
              <a:ext cx="1611485" cy="1411052"/>
            </a:xfrm>
            <a:prstGeom prst="rect">
              <a:avLst/>
            </a:prstGeom>
            <a:noFill/>
            <a:ln>
              <a:noFill/>
            </a:ln>
          </xdr:spPr>
        </xdr:pic>
      </xdr:grpSp>
      <xdr:sp macro="[0]!pInstrucoes.planilhaInstrucoes" textlink="">
        <xdr:nvSpPr>
          <xdr:cNvPr id="104" name="Retângulo de cantos arredondados 37"/>
          <xdr:cNvSpPr/>
        </xdr:nvSpPr>
        <xdr:spPr bwMode="auto">
          <a:xfrm>
            <a:off x="2790825" y="323849"/>
            <a:ext cx="868544" cy="360000"/>
          </a:xfrm>
          <a:prstGeom prst="rect">
            <a:avLst/>
          </a:prstGeom>
          <a:solidFill>
            <a:schemeClr val="accent2"/>
          </a:solidFill>
          <a:ln>
            <a:solidFill>
              <a:schemeClr val="tx1"/>
            </a:solidFill>
            <a:headEnd type="none" w="med" len="med"/>
            <a:tailEnd type="none" w="med" len="med"/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Instruções</a:t>
            </a:r>
          </a:p>
        </xdr:txBody>
      </xdr:sp>
    </xdr:grpSp>
    <xdr:clientData/>
  </xdr:twoCellAnchor>
</xdr:wsDr>
</file>

<file path=xl/tables/tableSingleCells1.xml><?xml version="1.0" encoding="utf-8"?>
<singleXmlCells xmlns="http://schemas.openxmlformats.org/spreadsheetml/2006/main">
  <singleXmlCell id="1" r="C16" connectionId="1">
    <xmlCellPr id="1" uniqueName="cad_enderecoorganizacao">
      <xmlPr mapId="13" xpath="/ns1:GHGPROTOCOL/Cadastro/cad_enderecoorganizacao" xmlDataType="string"/>
    </xmlCellPr>
  </singleXmlCell>
  <singleXmlCell id="2" r="C19" connectionId="1">
    <xmlCellPr id="1" uniqueName="cad_contatoresponsavel">
      <xmlPr mapId="13" xpath="/ns1:GHGPROTOCOL/Cadastro/cad_contatoresponsavel" xmlDataType="string"/>
    </xmlCellPr>
  </singleXmlCell>
  <singleXmlCell id="3" r="C20" connectionId="1">
    <xmlCellPr id="1" uniqueName="cad_datapreenchimento">
      <xmlPr mapId="13" xpath="/ns1:GHGPROTOCOL/Cadastro/cad_datapreenchimento" xmlDataType="date"/>
    </xmlCellPr>
  </singleXmlCell>
</singleXmlCells>
</file>

<file path=xl/tables/tableSingleCells2.xml><?xml version="1.0" encoding="utf-8"?>
<singleXmlCells xmlns="http://schemas.openxmlformats.org/spreadsheetml/2006/main">
  <singleXmlCell id="462" r="E18" connectionId="1">
    <xmlCellPr id="1" uniqueName="soja_estado">
      <xmlPr mapId="13" xpath="/ns1:GHGPROTOCOL/Soja/soja_estado" xmlDataType="string"/>
    </xmlCellPr>
  </singleXmlCell>
  <singleXmlCell id="463" r="E19" connectionId="1">
    <xmlCellPr id="1" uniqueName="soja_latitude">
      <xmlPr mapId="13" xpath="/ns1:GHGPROTOCOL/Soja/soja_latitude" xmlDataType="double"/>
    </xmlCellPr>
  </singleXmlCell>
  <singleXmlCell id="464" r="E20" connectionId="1">
    <xmlCellPr id="1" uniqueName="soja_longitude">
      <xmlPr mapId="13" xpath="/ns1:GHGPROTOCOL/Soja/soja_longitude" xmlDataType="double"/>
    </xmlCellPr>
  </singleXmlCell>
  <singleXmlCell id="465" r="E21" connectionId="1">
    <xmlCellPr id="1" uniqueName="soja_bioma">
      <xmlPr mapId="13" xpath="/ns1:GHGPROTOCOL/Soja/soja_bioma" xmlDataType="string"/>
    </xmlCellPr>
  </singleXmlCell>
  <singleXmlCell id="466" r="E25" connectionId="1">
    <xmlCellPr id="1" uniqueName="soja_dataplantio">
      <xmlPr mapId="13" xpath="/ns1:GHGPROTOCOL/Soja/soja_dataplantio" xmlDataType="date"/>
    </xmlCellPr>
  </singleXmlCell>
  <singleXmlCell id="467" r="E26" connectionId="1">
    <xmlCellPr id="1" uniqueName="soja_datacolheita">
      <xmlPr mapId="13" xpath="/ns1:GHGPROTOCOL/Soja/soja_datacolheita" xmlDataType="date"/>
    </xmlCellPr>
  </singleXmlCell>
  <singleXmlCell id="468" r="E27" connectionId="1">
    <xmlCellPr id="1" uniqueName="soja_classetexturalsolo">
      <xmlPr mapId="13" xpath="/ns1:GHGPROTOCOL/Soja/soja_classetexturalsolo" xmlDataType="string"/>
    </xmlCellPr>
  </singleXmlCell>
  <singleXmlCell id="469" r="E28" connectionId="1">
    <xmlCellPr id="1" uniqueName="soja_teorargilasolo">
      <xmlPr mapId="13" xpath="/ns1:GHGPROTOCOL/Soja/soja_teorargilasolo" xmlDataType="string"/>
    </xmlCellPr>
  </singleXmlCell>
  <singleXmlCell id="470" r="E29" connectionId="1">
    <xmlCellPr id="1" uniqueName="soja_usoanteriorterra">
      <xmlPr mapId="13" xpath="/ns1:GHGPROTOCOL/Soja/soja_usoanteriorterra" xmlDataType="string"/>
    </xmlCellPr>
  </singleXmlCell>
  <singleXmlCell id="471" r="E30" connectionId="1">
    <xmlCellPr id="1" uniqueName="soja_manejosolo">
      <xmlPr mapId="13" xpath="/ns1:GHGPROTOCOL/Soja/soja_manejosolo" xmlDataType="string"/>
    </xmlCellPr>
  </singleXmlCell>
  <singleXmlCell id="472" r="E31" connectionId="1">
    <xmlCellPr id="1" uniqueName="soja_tempoadocaosistema">
      <xmlPr mapId="13" xpath="/ns1:GHGPROTOCOL/Soja/soja_tempoadocaosistema" xmlDataType="string"/>
    </xmlCellPr>
  </singleXmlCell>
  <singleXmlCell id="473" r="E32" connectionId="1">
    <xmlCellPr id="1" uniqueName="soja_areaqueimaresiduos">
      <xmlPr mapId="13" xpath="/ns1:GHGPROTOCOL/Soja/soja_areaqueimaresiduos" xmlDataType="double"/>
    </xmlCellPr>
  </singleXmlCell>
  <singleXmlCell id="474" r="E33" connectionId="1">
    <xmlCellPr id="1" uniqueName="soja_cultivosoloorganico">
      <xmlPr mapId="13" xpath="/ns1:GHGPROTOCOL/Soja/soja_cultivosoloorganico" xmlDataType="double"/>
    </xmlCellPr>
  </singleXmlCell>
  <singleXmlCell id="475" r="E34" connectionId="1">
    <xmlCellPr id="1" uniqueName="soja_areacultivada">
      <xmlPr mapId="13" xpath="/ns1:GHGPROTOCOL/Soja/soja_areacultivada" xmlDataType="double"/>
    </xmlCellPr>
  </singleXmlCell>
  <singleXmlCell id="476" r="E35" connectionId="1">
    <xmlCellPr id="1" uniqueName="soja_produtividademedia">
      <xmlPr mapId="13" xpath="/ns1:GHGPROTOCOL/Soja/soja_produtividademedia" xmlDataType="double"/>
    </xmlCellPr>
  </singleXmlCell>
  <singleXmlCell id="477" r="E39" connectionId="1">
    <xmlCellPr id="1" uniqueName="soja_adubacaonitrogenadasintetica">
      <xmlPr mapId="13" xpath="/ns1:GHGPROTOCOL/Soja/soja_adubacaonitrogenadasintetica" xmlDataType="double"/>
    </xmlCellPr>
  </singleXmlCell>
  <singleXmlCell id="478" r="E40" connectionId="1">
    <xmlCellPr id="1" uniqueName="soja_nadubosintetico">
      <xmlPr mapId="13" xpath="/ns1:GHGPROTOCOL/Soja/soja_nadubosintetico" xmlDataType="double"/>
    </xmlCellPr>
  </singleXmlCell>
  <singleXmlCell id="479" r="E41" connectionId="1">
    <xmlCellPr id="1" uniqueName="soja_ureia">
      <xmlPr mapId="13" xpath="/ns1:GHGPROTOCOL/Soja/soja_ureia" xmlDataType="double"/>
    </xmlCellPr>
  </singleXmlCell>
  <singleXmlCell id="480" r="E42" connectionId="1">
    <xmlCellPr id="1" uniqueName="soja_calcariocalcitico">
      <xmlPr mapId="13" xpath="/ns1:GHGPROTOCOL/Soja/soja_calcariocalcitico" xmlDataType="double"/>
    </xmlCellPr>
  </singleXmlCell>
  <singleXmlCell id="481" r="E43" connectionId="1">
    <xmlCellPr id="1" uniqueName="soja_calcariodolomitico">
      <xmlPr mapId="13" xpath="/ns1:GHGPROTOCOL/Soja/soja_calcariodolomitico" xmlDataType="double"/>
    </xmlCellPr>
  </singleXmlCell>
  <singleXmlCell id="482" r="E46" connectionId="1">
    <xmlCellPr id="1" uniqueName="soja_adubacaoorganicacompostoorganico">
      <xmlPr mapId="13" xpath="/ns1:GHGPROTOCOL/Soja/soja_adubacaoorganicacompostoorganico" xmlDataType="double"/>
    </xmlCellPr>
  </singleXmlCell>
  <singleXmlCell id="483" r="E47" connectionId="1">
    <xmlCellPr id="1" uniqueName="soja_adubacaoorganicaestercogeral">
      <xmlPr mapId="13" xpath="/ns1:GHGPROTOCOL/Soja/soja_adubacaoorganicaestercogeral" xmlDataType="double"/>
    </xmlCellPr>
  </singleXmlCell>
  <singleXmlCell id="484" r="E48" connectionId="1">
    <xmlCellPr id="1" uniqueName="soja_adubacaoorganicaestercoavicola">
      <xmlPr mapId="13" xpath="/ns1:GHGPROTOCOL/Soja/soja_adubacaoorganicaestercoavicola" xmlDataType="double"/>
    </xmlCellPr>
  </singleXmlCell>
  <singleXmlCell id="485" r="E49" connectionId="1">
    <xmlCellPr id="1" uniqueName="soja_adubacaoorganicaoutros">
      <xmlPr mapId="13" xpath="/ns1:GHGPROTOCOL/Soja/soja_adubacaoorganicaoutros" xmlDataType="double"/>
    </xmlCellPr>
  </singleXmlCell>
  <singleXmlCell id="486" r="E52" connectionId="1">
    <xmlCellPr id="1" uniqueName="soja_adubacaoverdeleguminosa">
      <xmlPr mapId="13" xpath="/ns1:GHGPROTOCOL/Soja/soja_adubacaoverdeleguminosa" xmlDataType="double"/>
    </xmlCellPr>
  </singleXmlCell>
  <singleXmlCell id="487" r="E53" connectionId="1">
    <xmlCellPr id="1" uniqueName="soja_adubacaoverdegraminea">
      <xmlPr mapId="13" xpath="/ns1:GHGPROTOCOL/Soja/soja_adubacaoverdegraminea" xmlDataType="double"/>
    </xmlCellPr>
  </singleXmlCell>
  <singleXmlCell id="488" r="E54" connectionId="1">
    <xmlCellPr id="1" uniqueName="soja_adubacaoverdeoutros">
      <xmlPr mapId="13" xpath="/ns1:GHGPROTOCOL/Soja/soja_adubacaoverdeoutros" xmlDataType="double"/>
    </xmlCellPr>
  </singleXmlCell>
  <singleXmlCell id="489" r="E58" connectionId="1">
    <xmlCellPr id="1" uniqueName="soja_herbicida">
      <xmlPr mapId="13" xpath="/ns1:GHGPROTOCOL/Soja/soja_herbicida" xmlDataType="double"/>
    </xmlCellPr>
  </singleXmlCell>
  <singleXmlCell id="490" r="E59" connectionId="1">
    <xmlCellPr id="1" uniqueName="soja_inseticida">
      <xmlPr mapId="13" xpath="/ns1:GHGPROTOCOL/Soja/soja_inseticida" xmlDataType="double"/>
    </xmlCellPr>
  </singleXmlCell>
  <singleXmlCell id="491" r="E60" connectionId="1">
    <xmlCellPr id="1" uniqueName="soja_fungicida">
      <xmlPr mapId="13" xpath="/ns1:GHGPROTOCOL/Soja/soja_fungicida" xmlDataType="double"/>
    </xmlCellPr>
  </singleXmlCell>
  <singleXmlCell id="492" r="E64" connectionId="1">
    <xmlCellPr id="1" uniqueName="soja_tipocombustivel">
      <xmlPr mapId="13" xpath="/ns1:GHGPROTOCOL/Soja/soja_tipocombustivel" xmlDataType="string"/>
    </xmlCellPr>
  </singleXmlCell>
  <singleXmlCell id="493" r="E65" connectionId="1">
    <xmlCellPr id="1" uniqueName="soja_tipoconsumocombustivel">
      <xmlPr mapId="13" xpath="/ns1:GHGPROTOCOL/Soja/soja_tipoconsumocombustivel" xmlDataType="string"/>
    </xmlCellPr>
  </singleXmlCell>
  <singleXmlCell id="494" r="E77" connectionId="1">
    <xmlCellPr id="1" uniqueName="soja_consumodiesel">
      <xmlPr mapId="13" xpath="/ns1:GHGPROTOCOL/Soja/soja_consumodiesel" xmlDataType="double"/>
    </xmlCellPr>
  </singleXmlCell>
  <singleXmlCell id="495" r="D68" connectionId="1">
    <xmlCellPr id="1" uniqueName="soja_operacaomecanizada_calagem">
      <xmlPr mapId="13" xpath="/ns1:GHGPROTOCOL/Soja/soja_operacaomecanizada_calagem" xmlDataType="string"/>
    </xmlCellPr>
  </singleXmlCell>
  <singleXmlCell id="496" r="D69" connectionId="1">
    <xmlCellPr id="1" uniqueName="soja_operacaomecanizada_dessecacaopreemergente">
      <xmlPr mapId="13" xpath="/ns1:GHGPROTOCOL/Soja/soja_operacaomecanizada_dessecacaopreemergente" xmlDataType="string"/>
    </xmlCellPr>
  </singleXmlCell>
  <singleXmlCell id="497" r="D70" connectionId="1">
    <xmlCellPr id="1" uniqueName="soja_operacaomecanizada_limpezaarearocadeira">
      <xmlPr mapId="13" xpath="/ns1:GHGPROTOCOL/Soja/soja_operacaomecanizada_limpezaarearocadeira" xmlDataType="string"/>
    </xmlCellPr>
  </singleXmlCell>
  <singleXmlCell id="498" r="D71" connectionId="1">
    <xmlCellPr id="1" uniqueName="soja_operacaomecanizada_plantioadubacao">
      <xmlPr mapId="13" xpath="/ns1:GHGPROTOCOL/Soja/soja_operacaomecanizada_plantioadubacao" xmlDataType="string"/>
    </xmlCellPr>
  </singleXmlCell>
  <singleXmlCell id="499" r="D72" connectionId="1">
    <xmlCellPr id="1" uniqueName="soja_operacaomecanizada_fungicida">
      <xmlPr mapId="13" xpath="/ns1:GHGPROTOCOL/Soja/soja_operacaomecanizada_fungicida" xmlDataType="string"/>
    </xmlCellPr>
  </singleXmlCell>
  <singleXmlCell id="500" r="D73" connectionId="1">
    <xmlCellPr id="1" uniqueName="soja_operacaomecanizada_inseticida">
      <xmlPr mapId="13" xpath="/ns1:GHGPROTOCOL/Soja/soja_operacaomecanizada_inseticida" xmlDataType="string"/>
    </xmlCellPr>
  </singleXmlCell>
  <singleXmlCell id="501" r="D74" connectionId="1">
    <xmlCellPr id="1" uniqueName="soja_operacaomecanizada_herbicidaposemergente">
      <xmlPr mapId="13" xpath="/ns1:GHGPROTOCOL/Soja/soja_operacaomecanizada_herbicidaposemergente" xmlDataType="string"/>
    </xmlCellPr>
  </singleXmlCell>
  <singleXmlCell id="502" r="E68" connectionId="1">
    <xmlCellPr id="1" uniqueName="soja_operacaomecanizada_calagem_repeticoes">
      <xmlPr mapId="13" xpath="/ns1:GHGPROTOCOL/Soja/soja_operacaomecanizada_calagem_repeticoes" xmlDataType="double"/>
    </xmlCellPr>
  </singleXmlCell>
  <singleXmlCell id="503" r="E69" connectionId="1">
    <xmlCellPr id="1" uniqueName="soja_operacaomecanizada_dessecacaopreemergente_repeticoes">
      <xmlPr mapId="13" xpath="/ns1:GHGPROTOCOL/Soja/soja_operacaomecanizada_dessecacaopreemergente_repeticoes" xmlDataType="double"/>
    </xmlCellPr>
  </singleXmlCell>
  <singleXmlCell id="504" r="E70" connectionId="1">
    <xmlCellPr id="1" uniqueName="soja_operacaomecanizada_limpezaarearocadeira_repeticoes">
      <xmlPr mapId="13" xpath="/ns1:GHGPROTOCOL/Soja/soja_operacaomecanizada_limpezaarearocadeira_repeticoes" xmlDataType="double"/>
    </xmlCellPr>
  </singleXmlCell>
  <singleXmlCell id="505" r="E71" connectionId="1">
    <xmlCellPr id="1" uniqueName="soja_operacaomecanizada_plantioadubacao_repeticoes">
      <xmlPr mapId="13" xpath="/ns1:GHGPROTOCOL/Soja/soja_operacaomecanizada_plantioadubacao_repeticoes" xmlDataType="double"/>
    </xmlCellPr>
  </singleXmlCell>
  <singleXmlCell id="506" r="E72" connectionId="1">
    <xmlCellPr id="1" uniqueName="soja_operacaomecanizada_fungicida_repeticoes">
      <xmlPr mapId="13" xpath="/ns1:GHGPROTOCOL/Soja/soja_operacaomecanizada_fungicida_repeticoes" xmlDataType="double"/>
    </xmlCellPr>
  </singleXmlCell>
  <singleXmlCell id="507" r="E73" connectionId="1">
    <xmlCellPr id="1" uniqueName="soja_operacaomecanizada_inseticida_repeticoes">
      <xmlPr mapId="13" xpath="/ns1:GHGPROTOCOL/Soja/soja_operacaomecanizada_inseticida_repeticoes" xmlDataType="double"/>
    </xmlCellPr>
  </singleXmlCell>
  <singleXmlCell id="508" r="E74" connectionId="1">
    <xmlCellPr id="1" uniqueName="soja_operacaomecanizada_herbicidaposemergente_repeticoes">
      <xmlPr mapId="13" xpath="/ns1:GHGPROTOCOL/Soja/soja_operacaomecanizada_herbicidaposemergente_repeticoes" xmlDataType="double"/>
    </xmlCellPr>
  </singleXmlCell>
</singleXmlCells>
</file>

<file path=xl/tables/tableSingleCells3.xml><?xml version="1.0" encoding="utf-8"?>
<singleXmlCells xmlns="http://schemas.openxmlformats.org/spreadsheetml/2006/main">
  <singleXmlCell id="214" r="E18" connectionId="1">
    <xmlCellPr id="1" uniqueName="milho_estado">
      <xmlPr mapId="13" xpath="/ns1:GHGPROTOCOL/Milho/milho_estado" xmlDataType="string"/>
    </xmlCellPr>
  </singleXmlCell>
  <singleXmlCell id="215" r="E19" connectionId="1">
    <xmlCellPr id="1" uniqueName="milho_latitude">
      <xmlPr mapId="13" xpath="/ns1:GHGPROTOCOL/Milho/milho_latitude" xmlDataType="double"/>
    </xmlCellPr>
  </singleXmlCell>
  <singleXmlCell id="216" r="E20" connectionId="1">
    <xmlCellPr id="1" uniqueName="milho_longitude">
      <xmlPr mapId="13" xpath="/ns1:GHGPROTOCOL/Milho/milho_longitude" xmlDataType="double"/>
    </xmlCellPr>
  </singleXmlCell>
  <singleXmlCell id="217" r="E21" connectionId="1">
    <xmlCellPr id="1" uniqueName="milho_bioma">
      <xmlPr mapId="13" xpath="/ns1:GHGPROTOCOL/Milho/milho_bioma" xmlDataType="string"/>
    </xmlCellPr>
  </singleXmlCell>
  <singleXmlCell id="218" r="E25" connectionId="1">
    <xmlCellPr id="1" uniqueName="milho_dataplantio">
      <xmlPr mapId="13" xpath="/ns1:GHGPROTOCOL/Milho/milho_dataplantio" xmlDataType="date"/>
    </xmlCellPr>
  </singleXmlCell>
  <singleXmlCell id="219" r="E26" connectionId="1">
    <xmlCellPr id="1" uniqueName="milho_datacolheita">
      <xmlPr mapId="13" xpath="/ns1:GHGPROTOCOL/Milho/milho_datacolheita" xmlDataType="date"/>
    </xmlCellPr>
  </singleXmlCell>
  <singleXmlCell id="220" r="E27" connectionId="1">
    <xmlCellPr id="1" uniqueName="milho_classetexturalsolo">
      <xmlPr mapId="13" xpath="/ns1:GHGPROTOCOL/Milho/milho_classetexturalsolo" xmlDataType="string"/>
    </xmlCellPr>
  </singleXmlCell>
  <singleXmlCell id="221" r="E28" connectionId="1">
    <xmlCellPr id="1" uniqueName="milho_teorargilasolo">
      <xmlPr mapId="13" xpath="/ns1:GHGPROTOCOL/Milho/milho_teorargilasolo" xmlDataType="string"/>
    </xmlCellPr>
  </singleXmlCell>
  <singleXmlCell id="222" r="E29" connectionId="1">
    <xmlCellPr id="1" uniqueName="milho_usoanteriorterra">
      <xmlPr mapId="13" xpath="/ns1:GHGPROTOCOL/Milho/milho_usoanteriorterra" xmlDataType="string"/>
    </xmlCellPr>
  </singleXmlCell>
  <singleXmlCell id="223" r="E30" connectionId="1">
    <xmlCellPr id="1" uniqueName="milho_manejosolo">
      <xmlPr mapId="13" xpath="/ns1:GHGPROTOCOL/Milho/milho_manejosolo" xmlDataType="string"/>
    </xmlCellPr>
  </singleXmlCell>
  <singleXmlCell id="224" r="E31" connectionId="1">
    <xmlCellPr id="1" uniqueName="milho_tempoadocaosistema">
      <xmlPr mapId="13" xpath="/ns1:GHGPROTOCOL/Milho/milho_tempoadocaosistema" xmlDataType="string"/>
    </xmlCellPr>
  </singleXmlCell>
  <singleXmlCell id="225" r="E32" connectionId="1">
    <xmlCellPr id="1" uniqueName="milho_areaqueimaresiduos">
      <xmlPr mapId="13" xpath="/ns1:GHGPROTOCOL/Milho/milho_areaqueimaresiduos" xmlDataType="double"/>
    </xmlCellPr>
  </singleXmlCell>
  <singleXmlCell id="226" r="E33" connectionId="1">
    <xmlCellPr id="1" uniqueName="milho_cultivosoloorganico">
      <xmlPr mapId="13" xpath="/ns1:GHGPROTOCOL/Milho/milho_cultivosoloorganico" xmlDataType="double"/>
    </xmlCellPr>
  </singleXmlCell>
  <singleXmlCell id="227" r="E34" connectionId="1">
    <xmlCellPr id="1" uniqueName="milho_areacultivada">
      <xmlPr mapId="13" xpath="/ns1:GHGPROTOCOL/Milho/milho_areacultivada" xmlDataType="double"/>
    </xmlCellPr>
  </singleXmlCell>
  <singleXmlCell id="228" r="E35" connectionId="1">
    <xmlCellPr id="1" uniqueName="milho_produtividademedia">
      <xmlPr mapId="13" xpath="/ns1:GHGPROTOCOL/Milho/milho_produtividademedia" xmlDataType="double"/>
    </xmlCellPr>
  </singleXmlCell>
  <singleXmlCell id="229" r="E39" connectionId="1">
    <xmlCellPr id="1" uniqueName="milho_adubacaonitrogenadasintetica">
      <xmlPr mapId="13" xpath="/ns1:GHGPROTOCOL/Milho/milho_adubacaonitrogenadasintetica" xmlDataType="double"/>
    </xmlCellPr>
  </singleXmlCell>
  <singleXmlCell id="230" r="E40" connectionId="1">
    <xmlCellPr id="1" uniqueName="milho_nadubosintetico">
      <xmlPr mapId="13" xpath="/ns1:GHGPROTOCOL/Milho/milho_nadubosintetico" xmlDataType="double"/>
    </xmlCellPr>
  </singleXmlCell>
  <singleXmlCell id="231" r="E41" connectionId="1">
    <xmlCellPr id="1" uniqueName="milho_ureia">
      <xmlPr mapId="13" xpath="/ns1:GHGPROTOCOL/Milho/milho_ureia" xmlDataType="double"/>
    </xmlCellPr>
  </singleXmlCell>
  <singleXmlCell id="232" r="E42" connectionId="1">
    <xmlCellPr id="1" uniqueName="milho_calcariocalcitico">
      <xmlPr mapId="13" xpath="/ns1:GHGPROTOCOL/Milho/milho_calcariocalcitico" xmlDataType="double"/>
    </xmlCellPr>
  </singleXmlCell>
  <singleXmlCell id="233" r="E43" connectionId="1">
    <xmlCellPr id="1" uniqueName="milho_calcariodolomitico">
      <xmlPr mapId="13" xpath="/ns1:GHGPROTOCOL/Milho/milho_calcariodolomitico" xmlDataType="double"/>
    </xmlCellPr>
  </singleXmlCell>
  <singleXmlCell id="234" r="E46" connectionId="1">
    <xmlCellPr id="1" uniqueName="milho_adubacaoorganicacompostoorganico">
      <xmlPr mapId="13" xpath="/ns1:GHGPROTOCOL/Milho/milho_adubacaoorganicacompostoorganico" xmlDataType="double"/>
    </xmlCellPr>
  </singleXmlCell>
  <singleXmlCell id="235" r="E47" connectionId="1">
    <xmlCellPr id="1" uniqueName="milho_adubacaoorganicaestercogeral">
      <xmlPr mapId="13" xpath="/ns1:GHGPROTOCOL/Milho/milho_adubacaoorganicaestercogeral" xmlDataType="double"/>
    </xmlCellPr>
  </singleXmlCell>
  <singleXmlCell id="236" r="E48" connectionId="1">
    <xmlCellPr id="1" uniqueName="milho_adubacaoorganicaestercoavicola">
      <xmlPr mapId="13" xpath="/ns1:GHGPROTOCOL/Milho/milho_adubacaoorganicaestercoavicola" xmlDataType="double"/>
    </xmlCellPr>
  </singleXmlCell>
  <singleXmlCell id="237" r="E49" connectionId="1">
    <xmlCellPr id="1" uniqueName="milho_adubacaoorganicaoutros">
      <xmlPr mapId="13" xpath="/ns1:GHGPROTOCOL/Milho/milho_adubacaoorganicaoutros" xmlDataType="double"/>
    </xmlCellPr>
  </singleXmlCell>
  <singleXmlCell id="238" r="E52" connectionId="1">
    <xmlCellPr id="1" uniqueName="milho_adubacaoverdeleguminosa">
      <xmlPr mapId="13" xpath="/ns1:GHGPROTOCOL/Milho/milho_adubacaoverdeleguminosa" xmlDataType="double"/>
    </xmlCellPr>
  </singleXmlCell>
  <singleXmlCell id="239" r="E53" connectionId="1">
    <xmlCellPr id="1" uniqueName="milho_adubacaoverdegraminea">
      <xmlPr mapId="13" xpath="/ns1:GHGPROTOCOL/Milho/milho_adubacaoverdegraminea" xmlDataType="double"/>
    </xmlCellPr>
  </singleXmlCell>
  <singleXmlCell id="240" r="E54" connectionId="1">
    <xmlCellPr id="1" uniqueName="milho_adubacaoverdeoutros">
      <xmlPr mapId="13" xpath="/ns1:GHGPROTOCOL/Milho/milho_adubacaoverdeoutros" xmlDataType="double"/>
    </xmlCellPr>
  </singleXmlCell>
  <singleXmlCell id="241" r="E58" connectionId="1">
    <xmlCellPr id="1" uniqueName="milho_herbicida">
      <xmlPr mapId="13" xpath="/ns1:GHGPROTOCOL/Milho/milho_herbicida" xmlDataType="double"/>
    </xmlCellPr>
  </singleXmlCell>
  <singleXmlCell id="242" r="E59" connectionId="1">
    <xmlCellPr id="1" uniqueName="milho_inseticida">
      <xmlPr mapId="13" xpath="/ns1:GHGPROTOCOL/Milho/milho_inseticida" xmlDataType="double"/>
    </xmlCellPr>
  </singleXmlCell>
  <singleXmlCell id="243" r="E60" connectionId="1">
    <xmlCellPr id="1" uniqueName="milho_fungicida">
      <xmlPr mapId="13" xpath="/ns1:GHGPROTOCOL/Milho/milho_fungicida" xmlDataType="double"/>
    </xmlCellPr>
  </singleXmlCell>
  <singleXmlCell id="244" r="E64" connectionId="1">
    <xmlCellPr id="1" uniqueName="milho_tipocombustivel">
      <xmlPr mapId="13" xpath="/ns1:GHGPROTOCOL/Milho/milho_tipocombustivel" xmlDataType="string"/>
    </xmlCellPr>
  </singleXmlCell>
  <singleXmlCell id="245" r="E65" connectionId="1">
    <xmlCellPr id="1" uniqueName="milho_tipoconsumocombustivel">
      <xmlPr mapId="13" xpath="/ns1:GHGPROTOCOL/Milho/milho_tipoconsumocombustivel" xmlDataType="string"/>
    </xmlCellPr>
  </singleXmlCell>
  <singleXmlCell id="246" r="E80" connectionId="1">
    <xmlCellPr id="1" uniqueName="milho_consumodiesel">
      <xmlPr mapId="13" xpath="/ns1:GHGPROTOCOL/Milho/milho_consumodiesel" xmlDataType="double"/>
    </xmlCellPr>
  </singleXmlCell>
  <singleXmlCell id="247" r="D68" connectionId="1">
    <xmlCellPr id="1" uniqueName="milho_operacaomecanizada_calagem">
      <xmlPr mapId="13" xpath="/ns1:GHGPROTOCOL/Milho/milho_operacaomecanizada_calagem" xmlDataType="string"/>
    </xmlCellPr>
  </singleXmlCell>
  <singleXmlCell id="248" r="D69" connectionId="1">
    <xmlCellPr id="1" uniqueName="milho_operacaomecanizada_gradagemaradora">
      <xmlPr mapId="13" xpath="/ns1:GHGPROTOCOL/Milho/milho_operacaomecanizada_gradagemaradora" xmlDataType="string"/>
    </xmlCellPr>
  </singleXmlCell>
  <singleXmlCell id="249" r="D70" connectionId="1">
    <xmlCellPr id="1" uniqueName="milho_operacaomecanizada_gradagemniveladora">
      <xmlPr mapId="13" xpath="/ns1:GHGPROTOCOL/Milho/milho_operacaomecanizada_gradagemniveladora" xmlDataType="string"/>
    </xmlCellPr>
  </singleXmlCell>
  <singleXmlCell id="250" r="D71" connectionId="1">
    <xmlCellPr id="1" uniqueName="milho_operacaomecanizada_plantiocomadubacao">
      <xmlPr mapId="13" xpath="/ns1:GHGPROTOCOL/Milho/milho_operacaomecanizada_plantiocomadubacao" xmlDataType="string"/>
    </xmlCellPr>
  </singleXmlCell>
  <singleXmlCell id="251" r="D72" connectionId="1">
    <xmlCellPr id="1" uniqueName="milho_operacaomecanizada_transporteinternoparaplantio">
      <xmlPr mapId="13" xpath="/ns1:GHGPROTOCOL/Milho/milho_operacaomecanizada_transporteinternoparaplantio" xmlDataType="string"/>
    </xmlCellPr>
  </singleXmlCell>
  <singleXmlCell id="252" r="D73" connectionId="1">
    <xmlCellPr id="1" uniqueName="milho_operacaomecanizada_adubacaodecobertura">
      <xmlPr mapId="13" xpath="/ns1:GHGPROTOCOL/Milho/milho_operacaomecanizada_adubacaodecobertura" xmlDataType="string"/>
    </xmlCellPr>
  </singleXmlCell>
  <singleXmlCell id="253" r="D74" connectionId="1">
    <xmlCellPr id="1" uniqueName="milho_operacaomecanizada_herbicida">
      <xmlPr mapId="13" xpath="/ns1:GHGPROTOCOL/Milho/milho_operacaomecanizada_herbicida" xmlDataType="string"/>
    </xmlCellPr>
  </singleXmlCell>
  <singleXmlCell id="254" r="D75" connectionId="1">
    <xmlCellPr id="1" uniqueName="milho_operacaomecanizada_inseticida">
      <xmlPr mapId="13" xpath="/ns1:GHGPROTOCOL/Milho/milho_operacaomecanizada_inseticida" xmlDataType="string"/>
    </xmlCellPr>
  </singleXmlCell>
  <singleXmlCell id="255" r="D76" connectionId="1">
    <xmlCellPr id="1" uniqueName="milho_operacaomecanizada_transporteinternoparacolheita">
      <xmlPr mapId="13" xpath="/ns1:GHGPROTOCOL/Milho/milho_operacaomecanizada_transporteinternoparacolheita" xmlDataType="string"/>
    </xmlCellPr>
  </singleXmlCell>
  <singleXmlCell id="256" r="D77" connectionId="1">
    <xmlCellPr id="1" uniqueName="milho_operacaomecanizada_colheita">
      <xmlPr mapId="13" xpath="/ns1:GHGPROTOCOL/Milho/milho_operacaomecanizada_colheita" xmlDataType="string"/>
    </xmlCellPr>
  </singleXmlCell>
  <singleXmlCell id="259" r="E68" connectionId="1">
    <xmlCellPr id="1" uniqueName="milho_operacaomecanizada_calagem_repeticoes">
      <xmlPr mapId="13" xpath="/ns1:GHGPROTOCOL/Milho/milho_operacaomecanizada_calagem_repeticoes" xmlDataType="double"/>
    </xmlCellPr>
  </singleXmlCell>
  <singleXmlCell id="260" r="E69" connectionId="1">
    <xmlCellPr id="1" uniqueName="milho_operacaomecanizada_gradagemaradora_repeticoes">
      <xmlPr mapId="13" xpath="/ns1:GHGPROTOCOL/Milho/milho_operacaomecanizada_gradagemaradora_repeticoes" xmlDataType="double"/>
    </xmlCellPr>
  </singleXmlCell>
  <singleXmlCell id="261" r="E70" connectionId="1">
    <xmlCellPr id="1" uniqueName="milho_operacaomecanizada_gradagemniveladora_repeticoes">
      <xmlPr mapId="13" xpath="/ns1:GHGPROTOCOL/Milho/milho_operacaomecanizada_gradagemniveladora_repeticoes" xmlDataType="double"/>
    </xmlCellPr>
  </singleXmlCell>
  <singleXmlCell id="262" r="E71" connectionId="1">
    <xmlCellPr id="1" uniqueName="milho_operacaomecanizada_plantiocomadubacao_repeticoes">
      <xmlPr mapId="13" xpath="/ns1:GHGPROTOCOL/Milho/milho_operacaomecanizada_plantiocomadubacao_repeticoes" xmlDataType="double"/>
    </xmlCellPr>
  </singleXmlCell>
  <singleXmlCell id="263" r="E72" connectionId="1">
    <xmlCellPr id="1" uniqueName="milho_operacaomecanizada_transporteinternoparaplantio_repeticoes">
      <xmlPr mapId="13" xpath="/ns1:GHGPROTOCOL/Milho/milho_operacaomecanizada_transporteinternoparaplantio_repeticoes" xmlDataType="double"/>
    </xmlCellPr>
  </singleXmlCell>
  <singleXmlCell id="264" r="E73" connectionId="1">
    <xmlCellPr id="1" uniqueName="milho_operacaomecanizada_adubacaodecobertura_repeticoes">
      <xmlPr mapId="13" xpath="/ns1:GHGPROTOCOL/Milho/milho_operacaomecanizada_adubacaodecobertura_repeticoes" xmlDataType="double"/>
    </xmlCellPr>
  </singleXmlCell>
  <singleXmlCell id="265" r="E74" connectionId="1">
    <xmlCellPr id="1" uniqueName="milho_operacaomecanizada_herbicida_repeticoes">
      <xmlPr mapId="13" xpath="/ns1:GHGPROTOCOL/Milho/milho_operacaomecanizada_herbicida_repeticoes" xmlDataType="double"/>
    </xmlCellPr>
  </singleXmlCell>
  <singleXmlCell id="266" r="E75" connectionId="1">
    <xmlCellPr id="1" uniqueName="milho_operacaomecanizada_inseticida_repeticoes">
      <xmlPr mapId="13" xpath="/ns1:GHGPROTOCOL/Milho/milho_operacaomecanizada_inseticida_repeticoes" xmlDataType="double"/>
    </xmlCellPr>
  </singleXmlCell>
  <singleXmlCell id="267" r="E76" connectionId="1">
    <xmlCellPr id="1" uniqueName="milho_operacaomecanizada_transporteinternoparacolheita_repeticoes">
      <xmlPr mapId="13" xpath="/ns1:GHGPROTOCOL/Milho/milho_operacaomecanizada_transporteinternoparacolheita_repeticoes" xmlDataType="double"/>
    </xmlCellPr>
  </singleXmlCell>
  <singleXmlCell id="268" r="E77" connectionId="1">
    <xmlCellPr id="1" uniqueName="milho_operacaomecanizada_colheita_repeticoes">
      <xmlPr mapId="13" xpath="/ns1:GHGPROTOCOL/Milho/milho_operacaomecanizada_colheita_repeticoes" xmlDataType="double"/>
    </xmlCellPr>
  </singleXmlCell>
</singleXmlCells>
</file>

<file path=xl/tables/tableSingleCells4.xml><?xml version="1.0" encoding="utf-8"?>
<singleXmlCells xmlns="http://schemas.openxmlformats.org/spreadsheetml/2006/main">
  <singleXmlCell id="6" r="E18" connectionId="1">
    <xmlCellPr id="1" uniqueName="algodao_estado">
      <xmlPr mapId="13" xpath="/ns1:GHGPROTOCOL/Algodão/algodao_estado" xmlDataType="string"/>
    </xmlCellPr>
  </singleXmlCell>
  <singleXmlCell id="7" r="E19" connectionId="1">
    <xmlCellPr id="1" uniqueName="algodao_latitude">
      <xmlPr mapId="13" xpath="/ns1:GHGPROTOCOL/Algodão/algodao_latitude" xmlDataType="double"/>
    </xmlCellPr>
  </singleXmlCell>
  <singleXmlCell id="8" r="E20" connectionId="1">
    <xmlCellPr id="1" uniqueName="algodao_longitude">
      <xmlPr mapId="13" xpath="/ns1:GHGPROTOCOL/Algodão/algodao_longitude" xmlDataType="double"/>
    </xmlCellPr>
  </singleXmlCell>
  <singleXmlCell id="9" r="E21" connectionId="1">
    <xmlCellPr id="1" uniqueName="algodao_bioma">
      <xmlPr mapId="13" xpath="/ns1:GHGPROTOCOL/Algodão/algodao_bioma" xmlDataType="string"/>
    </xmlCellPr>
  </singleXmlCell>
  <singleXmlCell id="10" r="E25" connectionId="1">
    <xmlCellPr id="1" uniqueName="algodao_dataplantio">
      <xmlPr mapId="13" xpath="/ns1:GHGPROTOCOL/Algodão/algodao_dataplantio" xmlDataType="date"/>
    </xmlCellPr>
  </singleXmlCell>
  <singleXmlCell id="11" r="E26" connectionId="1">
    <xmlCellPr id="1" uniqueName="algodao_datacolheita">
      <xmlPr mapId="13" xpath="/ns1:GHGPROTOCOL/Algodão/algodao_datacolheita" xmlDataType="date"/>
    </xmlCellPr>
  </singleXmlCell>
  <singleXmlCell id="12" r="E27" connectionId="1">
    <xmlCellPr id="1" uniqueName="algodao_classetexturalsolo">
      <xmlPr mapId="13" xpath="/ns1:GHGPROTOCOL/Algodão/algodao_classetexturalsolo" xmlDataType="string"/>
    </xmlCellPr>
  </singleXmlCell>
  <singleXmlCell id="13" r="E28" connectionId="1">
    <xmlCellPr id="1" uniqueName="algodao_teorargilasolo">
      <xmlPr mapId="13" xpath="/ns1:GHGPROTOCOL/Algodão/algodao_teorargilasolo" xmlDataType="string"/>
    </xmlCellPr>
  </singleXmlCell>
  <singleXmlCell id="14" r="E29" connectionId="1">
    <xmlCellPr id="1" uniqueName="algodao_usoanteriorterra">
      <xmlPr mapId="13" xpath="/ns1:GHGPROTOCOL/Algodão/algodao_usoanteriorterra" xmlDataType="string"/>
    </xmlCellPr>
  </singleXmlCell>
  <singleXmlCell id="15" r="E30" connectionId="1">
    <xmlCellPr id="1" uniqueName="algodao_manejosolo">
      <xmlPr mapId="13" xpath="/ns1:GHGPROTOCOL/Algodão/algodao_manejosolo" xmlDataType="string"/>
    </xmlCellPr>
  </singleXmlCell>
  <singleXmlCell id="16" r="E31" connectionId="1">
    <xmlCellPr id="1" uniqueName="algodao_tempoadocaosistema">
      <xmlPr mapId="13" xpath="/ns1:GHGPROTOCOL/Algodão/algodao_tempoadocaosistema" xmlDataType="string"/>
    </xmlCellPr>
  </singleXmlCell>
  <singleXmlCell id="17" r="E32" connectionId="1">
    <xmlCellPr id="1" uniqueName="algodao_areaqueimaresiduos">
      <xmlPr mapId="13" xpath="/ns1:GHGPROTOCOL/Algodão/algodao_areaqueimaresiduos" xmlDataType="double"/>
    </xmlCellPr>
  </singleXmlCell>
  <singleXmlCell id="18" r="E33" connectionId="1">
    <xmlCellPr id="1" uniqueName="algodao_cultivosoloorganico">
      <xmlPr mapId="13" xpath="/ns1:GHGPROTOCOL/Algodão/algodao_cultivosoloorganico" xmlDataType="double"/>
    </xmlCellPr>
  </singleXmlCell>
  <singleXmlCell id="19" r="E34" connectionId="1">
    <xmlCellPr id="1" uniqueName="algodao_areacultivada">
      <xmlPr mapId="13" xpath="/ns1:GHGPROTOCOL/Algodão/algodao_areacultivada" xmlDataType="double"/>
    </xmlCellPr>
  </singleXmlCell>
  <singleXmlCell id="20" r="E35" connectionId="1">
    <xmlCellPr id="1" uniqueName="algodao_produtividademedia">
      <xmlPr mapId="13" xpath="/ns1:GHGPROTOCOL/Algodão/algodao_produtividademedia" xmlDataType="double"/>
    </xmlCellPr>
  </singleXmlCell>
  <singleXmlCell id="21" r="E39" connectionId="1">
    <xmlCellPr id="1" uniqueName="algodao_adubacaonitrogenadasintetica">
      <xmlPr mapId="13" xpath="/ns1:GHGPROTOCOL/Algodão/algodao_adubacaonitrogenadasintetica" xmlDataType="double"/>
    </xmlCellPr>
  </singleXmlCell>
  <singleXmlCell id="22" r="E40" connectionId="1">
    <xmlCellPr id="1" uniqueName="algodao_nadubosintetico">
      <xmlPr mapId="13" xpath="/ns1:GHGPROTOCOL/Algodão/algodao_nadubosintetico" xmlDataType="double"/>
    </xmlCellPr>
  </singleXmlCell>
  <singleXmlCell id="23" r="E41" connectionId="1">
    <xmlCellPr id="1" uniqueName="algodao_ureia">
      <xmlPr mapId="13" xpath="/ns1:GHGPROTOCOL/Algodão/algodao_ureia" xmlDataType="double"/>
    </xmlCellPr>
  </singleXmlCell>
  <singleXmlCell id="24" r="E42" connectionId="1">
    <xmlCellPr id="1" uniqueName="algodao_calcariocalcitico">
      <xmlPr mapId="13" xpath="/ns1:GHGPROTOCOL/Algodão/algodao_calcariocalcitico" xmlDataType="double"/>
    </xmlCellPr>
  </singleXmlCell>
  <singleXmlCell id="25" r="E43" connectionId="1">
    <xmlCellPr id="1" uniqueName="algodao_calcariodolomitico">
      <xmlPr mapId="13" xpath="/ns1:GHGPROTOCOL/Algodão/algodao_calcariodolomitico" xmlDataType="double"/>
    </xmlCellPr>
  </singleXmlCell>
  <singleXmlCell id="26" r="E46" connectionId="1">
    <xmlCellPr id="1" uniqueName="algodao_adubacaoorganicacompostoorganico">
      <xmlPr mapId="13" xpath="/ns1:GHGPROTOCOL/Algodão/algodao_adubacaoorganicacompostoorganico" xmlDataType="double"/>
    </xmlCellPr>
  </singleXmlCell>
  <singleXmlCell id="27" r="E47" connectionId="1">
    <xmlCellPr id="1" uniqueName="algodao_adubacaoorganicaestercogeral">
      <xmlPr mapId="13" xpath="/ns1:GHGPROTOCOL/Algodão/algodao_adubacaoorganicaestercogeral" xmlDataType="double"/>
    </xmlCellPr>
  </singleXmlCell>
  <singleXmlCell id="28" r="E48" connectionId="1">
    <xmlCellPr id="1" uniqueName="algodao_adubacaoorganicaestercoavicola">
      <xmlPr mapId="13" xpath="/ns1:GHGPROTOCOL/Algodão/algodao_adubacaoorganicaestercoavicola" xmlDataType="double"/>
    </xmlCellPr>
  </singleXmlCell>
  <singleXmlCell id="29" r="E49" connectionId="1">
    <xmlCellPr id="1" uniqueName="algodao_adubacaoorganicaoutros">
      <xmlPr mapId="13" xpath="/ns1:GHGPROTOCOL/Algodão/algodao_adubacaoorganicaoutros" xmlDataType="double"/>
    </xmlCellPr>
  </singleXmlCell>
  <singleXmlCell id="31" r="E52" connectionId="1">
    <xmlCellPr id="1" uniqueName="algodao_adubacaoverdeleguminosa">
      <xmlPr mapId="13" xpath="/ns1:GHGPROTOCOL/Algodão/algodao_adubacaoverdeleguminosa" xmlDataType="double"/>
    </xmlCellPr>
  </singleXmlCell>
  <singleXmlCell id="32" r="E53" connectionId="1">
    <xmlCellPr id="1" uniqueName="algodao_adubacaoverdegraminea">
      <xmlPr mapId="13" xpath="/ns1:GHGPROTOCOL/Algodão/algodao_adubacaoverdegraminea" xmlDataType="double"/>
    </xmlCellPr>
  </singleXmlCell>
  <singleXmlCell id="33" r="E54" connectionId="1">
    <xmlCellPr id="1" uniqueName="algodao_adubacaoverdeoutros">
      <xmlPr mapId="13" xpath="/ns1:GHGPROTOCOL/Algodão/algodao_adubacaoverdeoutros" xmlDataType="double"/>
    </xmlCellPr>
  </singleXmlCell>
  <singleXmlCell id="34" r="E58" connectionId="1">
    <xmlCellPr id="1" uniqueName="algodao_herbicida">
      <xmlPr mapId="13" xpath="/ns1:GHGPROTOCOL/Algodão/algodao_herbicida" xmlDataType="double"/>
    </xmlCellPr>
  </singleXmlCell>
  <singleXmlCell id="35" r="E59" connectionId="1">
    <xmlCellPr id="1" uniqueName="algodao_inseticida">
      <xmlPr mapId="13" xpath="/ns1:GHGPROTOCOL/Algodão/algodao_inseticida" xmlDataType="double"/>
    </xmlCellPr>
  </singleXmlCell>
  <singleXmlCell id="36" r="E60" connectionId="1">
    <xmlCellPr id="1" uniqueName="algodao_fungicida">
      <xmlPr mapId="13" xpath="/ns1:GHGPROTOCOL/Algodão/algodao_fungicida" xmlDataType="double"/>
    </xmlCellPr>
  </singleXmlCell>
  <singleXmlCell id="37" r="E64" connectionId="1">
    <xmlCellPr id="1" uniqueName="algodao_tipocombustivel">
      <xmlPr mapId="13" xpath="/ns1:GHGPROTOCOL/Algodão/algodao_tipocombustivel" xmlDataType="string"/>
    </xmlCellPr>
  </singleXmlCell>
  <singleXmlCell id="38" r="E65" connectionId="1">
    <xmlCellPr id="1" uniqueName="algodao_tipoconsumocombustivel">
      <xmlPr mapId="13" xpath="/ns1:GHGPROTOCOL/Algodão/algodao_tipoconsumocombustivel" xmlDataType="string"/>
    </xmlCellPr>
  </singleXmlCell>
  <singleXmlCell id="39" r="E76" connectionId="1">
    <xmlCellPr id="1" uniqueName="algodao_consumodiesel">
      <xmlPr mapId="13" xpath="/ns1:GHGPROTOCOL/Algodão/algodao_consumodiesel" xmlDataType="double"/>
    </xmlCellPr>
  </singleXmlCell>
  <singleXmlCell id="40" r="D68" connectionId="1">
    <xmlCellPr id="1" uniqueName="algodao_operacaomecanizada_calagem">
      <xmlPr mapId="13" xpath="/ns1:GHGPROTOCOL/Algodão/algodao_operacaomecanizada_calagem" xmlDataType="string"/>
    </xmlCellPr>
  </singleXmlCell>
  <singleXmlCell id="41" r="D69" connectionId="1">
    <xmlCellPr id="1" uniqueName="algodao_operacaomecanizada_preparosolo">
      <xmlPr mapId="13" xpath="/ns1:GHGPROTOCOL/Algodão/algodao_operacaomecanizada_preparosolo" xmlDataType="string"/>
    </xmlCellPr>
  </singleXmlCell>
  <singleXmlCell id="42" r="D70" connectionId="1">
    <xmlCellPr id="1" uniqueName="algodao_operacaomecanizada_plantioadubacao">
      <xmlPr mapId="13" xpath="/ns1:GHGPROTOCOL/Algodão/algodao_operacaomecanizada_plantioadubacao" xmlDataType="string"/>
    </xmlCellPr>
  </singleXmlCell>
  <singleXmlCell id="43" r="D71" connectionId="1">
    <xmlCellPr id="1" uniqueName="algodao_operacaomecanizada_adubacaocobertura">
      <xmlPr mapId="13" xpath="/ns1:GHGPROTOCOL/Algodão/algodao_operacaomecanizada_adubacaocobertura" xmlDataType="string"/>
    </xmlCellPr>
  </singleXmlCell>
  <singleXmlCell id="44" r="D72" connectionId="1">
    <xmlCellPr id="1" uniqueName="algodao_operacaomecanizada_aplicacaodefensivos">
      <xmlPr mapId="13" xpath="/ns1:GHGPROTOCOL/Algodão/algodao_operacaomecanizada_aplicacaodefensivos" xmlDataType="string"/>
    </xmlCellPr>
  </singleXmlCell>
  <singleXmlCell id="45" r="D73" connectionId="1">
    <xmlCellPr id="1" uniqueName="algodao_operacaomecanizada_colheita">
      <xmlPr mapId="13" xpath="/ns1:GHGPROTOCOL/Algodão/algodao_operacaomecanizada_colheita" xmlDataType="string"/>
    </xmlCellPr>
  </singleXmlCell>
  <singleXmlCell id="46" r="E68" connectionId="1">
    <xmlCellPr id="1" uniqueName="algodao_operacaomecanizada_calagem_repeticoes">
      <xmlPr mapId="13" xpath="/ns1:GHGPROTOCOL/Algodão/algodao_operacaomecanizada_calagem_repeticoes" xmlDataType="double"/>
    </xmlCellPr>
  </singleXmlCell>
  <singleXmlCell id="47" r="E69" connectionId="1">
    <xmlCellPr id="1" uniqueName="algodao_operacaomecanizada_preparosolo_repeticoes">
      <xmlPr mapId="13" xpath="/ns1:GHGPROTOCOL/Algodão/algodao_operacaomecanizada_preparosolo_repeticoes" xmlDataType="double"/>
    </xmlCellPr>
  </singleXmlCell>
  <singleXmlCell id="48" r="E70" connectionId="1">
    <xmlCellPr id="1" uniqueName="algodao_operacaomecanizada_plantioadubacao_repeticoes">
      <xmlPr mapId="13" xpath="/ns1:GHGPROTOCOL/Algodão/algodao_operacaomecanizada_plantioadubacao_repeticoes" xmlDataType="double"/>
    </xmlCellPr>
  </singleXmlCell>
  <singleXmlCell id="49" r="E71" connectionId="1">
    <xmlCellPr id="1" uniqueName="algodao_operacaomecanizada_adubacaocobertura_repeticoes">
      <xmlPr mapId="13" xpath="/ns1:GHGPROTOCOL/Algodão/algodao_operacaomecanizada_adubacaocobertura_repeticoes" xmlDataType="double"/>
    </xmlCellPr>
  </singleXmlCell>
  <singleXmlCell id="50" r="E72" connectionId="1">
    <xmlCellPr id="1" uniqueName="algodao_operacaomecanizada_aplicacaodefensivos_repeticoes">
      <xmlPr mapId="13" xpath="/ns1:GHGPROTOCOL/Algodão/algodao_operacaomecanizada_aplicacaodefensivos_repeticoes" xmlDataType="double"/>
    </xmlCellPr>
  </singleXmlCell>
  <singleXmlCell id="51" r="E73" connectionId="1">
    <xmlCellPr id="1" uniqueName="algodao_operacaomecanizada_colheita_repeticoes">
      <xmlPr mapId="13" xpath="/ns1:GHGPROTOCOL/Algodão/algodao_operacaomecanizada_colheita_repeticoes" xmlDataType="double"/>
    </xmlCellPr>
  </singleXmlCell>
</singleXmlCells>
</file>

<file path=xl/tables/tableSingleCells5.xml><?xml version="1.0" encoding="utf-8"?>
<singleXmlCells xmlns="http://schemas.openxmlformats.org/spreadsheetml/2006/main">
  <singleXmlCell id="509" r="E18" connectionId="1">
    <xmlCellPr id="1" uniqueName="trigo_estado">
      <xmlPr mapId="13" xpath="/ns1:GHGPROTOCOL/Trigo/trigo_estado" xmlDataType="string"/>
    </xmlCellPr>
  </singleXmlCell>
  <singleXmlCell id="510" r="E19" connectionId="1">
    <xmlCellPr id="1" uniqueName="trigo_latitude">
      <xmlPr mapId="13" xpath="/ns1:GHGPROTOCOL/Trigo/trigo_latitude" xmlDataType="double"/>
    </xmlCellPr>
  </singleXmlCell>
  <singleXmlCell id="511" r="E20" connectionId="1">
    <xmlCellPr id="1" uniqueName="trigo_longitude">
      <xmlPr mapId="13" xpath="/ns1:GHGPROTOCOL/Trigo/trigo_longitude" xmlDataType="double"/>
    </xmlCellPr>
  </singleXmlCell>
  <singleXmlCell id="512" r="E21" connectionId="1">
    <xmlCellPr id="1" uniqueName="trigo_bioma">
      <xmlPr mapId="13" xpath="/ns1:GHGPROTOCOL/Trigo/trigo_bioma" xmlDataType="string"/>
    </xmlCellPr>
  </singleXmlCell>
  <singleXmlCell id="513" r="E25" connectionId="1">
    <xmlCellPr id="1" uniqueName="trigo_dataplantio">
      <xmlPr mapId="13" xpath="/ns1:GHGPROTOCOL/Trigo/trigo_dataplantio" xmlDataType="date"/>
    </xmlCellPr>
  </singleXmlCell>
  <singleXmlCell id="514" r="E26" connectionId="1">
    <xmlCellPr id="1" uniqueName="trigo_datacolheita">
      <xmlPr mapId="13" xpath="/ns1:GHGPROTOCOL/Trigo/trigo_datacolheita" xmlDataType="date"/>
    </xmlCellPr>
  </singleXmlCell>
  <singleXmlCell id="515" r="E27" connectionId="1">
    <xmlCellPr id="1" uniqueName="trigo_classetexturalsolo">
      <xmlPr mapId="13" xpath="/ns1:GHGPROTOCOL/Trigo/trigo_classetexturalsolo" xmlDataType="string"/>
    </xmlCellPr>
  </singleXmlCell>
  <singleXmlCell id="516" r="E28" connectionId="1">
    <xmlCellPr id="1" uniqueName="trigo_teorargilasolo">
      <xmlPr mapId="13" xpath="/ns1:GHGPROTOCOL/Trigo/trigo_teorargilasolo" xmlDataType="string"/>
    </xmlCellPr>
  </singleXmlCell>
  <singleXmlCell id="517" r="E29" connectionId="1">
    <xmlCellPr id="1" uniqueName="trigo_usoanteriorterra">
      <xmlPr mapId="13" xpath="/ns1:GHGPROTOCOL/Trigo/trigo_usoanteriorterra" xmlDataType="string"/>
    </xmlCellPr>
  </singleXmlCell>
  <singleXmlCell id="518" r="E30" connectionId="1">
    <xmlCellPr id="1" uniqueName="trigo_manejosolo">
      <xmlPr mapId="13" xpath="/ns1:GHGPROTOCOL/Trigo/trigo_manejosolo" xmlDataType="string"/>
    </xmlCellPr>
  </singleXmlCell>
  <singleXmlCell id="519" r="E31" connectionId="1">
    <xmlCellPr id="1" uniqueName="trigo_tempoadocaosistema">
      <xmlPr mapId="13" xpath="/ns1:GHGPROTOCOL/Trigo/trigo_tempoadocaosistema" xmlDataType="string"/>
    </xmlCellPr>
  </singleXmlCell>
  <singleXmlCell id="520" r="E32" connectionId="1">
    <xmlCellPr id="1" uniqueName="trigo_areaqueimaresiduos">
      <xmlPr mapId="13" xpath="/ns1:GHGPROTOCOL/Trigo/trigo_areaqueimaresiduos" xmlDataType="double"/>
    </xmlCellPr>
  </singleXmlCell>
  <singleXmlCell id="521" r="E33" connectionId="1">
    <xmlCellPr id="1" uniqueName="trigo_cultivosoloorganico">
      <xmlPr mapId="13" xpath="/ns1:GHGPROTOCOL/Trigo/trigo_cultivosoloorganico" xmlDataType="double"/>
    </xmlCellPr>
  </singleXmlCell>
  <singleXmlCell id="522" r="E34" connectionId="1">
    <xmlCellPr id="1" uniqueName="trigo_areacultivada">
      <xmlPr mapId="13" xpath="/ns1:GHGPROTOCOL/Trigo/trigo_areacultivada" xmlDataType="double"/>
    </xmlCellPr>
  </singleXmlCell>
  <singleXmlCell id="523" r="E35" connectionId="1">
    <xmlCellPr id="1" uniqueName="trigo_produtividademedia">
      <xmlPr mapId="13" xpath="/ns1:GHGPROTOCOL/Trigo/trigo_produtividademedia" xmlDataType="double"/>
    </xmlCellPr>
  </singleXmlCell>
  <singleXmlCell id="524" r="E39" connectionId="1">
    <xmlCellPr id="1" uniqueName="trigo_adubacaonitrogenadasintetica">
      <xmlPr mapId="13" xpath="/ns1:GHGPROTOCOL/Trigo/trigo_adubacaonitrogenadasintetica" xmlDataType="double"/>
    </xmlCellPr>
  </singleXmlCell>
  <singleXmlCell id="525" r="E40" connectionId="1">
    <xmlCellPr id="1" uniqueName="trigo_nadubosintetico">
      <xmlPr mapId="13" xpath="/ns1:GHGPROTOCOL/Trigo/trigo_nadubosintetico" xmlDataType="double"/>
    </xmlCellPr>
  </singleXmlCell>
  <singleXmlCell id="526" r="E41" connectionId="1">
    <xmlCellPr id="1" uniqueName="trigo_ureia">
      <xmlPr mapId="13" xpath="/ns1:GHGPROTOCOL/Trigo/trigo_ureia" xmlDataType="double"/>
    </xmlCellPr>
  </singleXmlCell>
  <singleXmlCell id="527" r="E42" connectionId="1">
    <xmlCellPr id="1" uniqueName="trigo_calcariocalcitico">
      <xmlPr mapId="13" xpath="/ns1:GHGPROTOCOL/Trigo/trigo_calcariocalcitico" xmlDataType="double"/>
    </xmlCellPr>
  </singleXmlCell>
  <singleXmlCell id="528" r="E43" connectionId="1">
    <xmlCellPr id="1" uniqueName="trigo_calcariodolomitico">
      <xmlPr mapId="13" xpath="/ns1:GHGPROTOCOL/Trigo/trigo_calcariodolomitico" xmlDataType="double"/>
    </xmlCellPr>
  </singleXmlCell>
  <singleXmlCell id="529" r="E46" connectionId="1">
    <xmlCellPr id="1" uniqueName="trigo_adubacaoorganicacompostoorganico">
      <xmlPr mapId="13" xpath="/ns1:GHGPROTOCOL/Trigo/trigo_adubacaoorganicacompostoorganico" xmlDataType="double"/>
    </xmlCellPr>
  </singleXmlCell>
  <singleXmlCell id="530" r="E47" connectionId="1">
    <xmlCellPr id="1" uniqueName="trigo_adubacaoorganicaestercogeral">
      <xmlPr mapId="13" xpath="/ns1:GHGPROTOCOL/Trigo/trigo_adubacaoorganicaestercogeral" xmlDataType="double"/>
    </xmlCellPr>
  </singleXmlCell>
  <singleXmlCell id="531" r="E48" connectionId="1">
    <xmlCellPr id="1" uniqueName="trigo_adubacaoorganicaestercoavicola">
      <xmlPr mapId="13" xpath="/ns1:GHGPROTOCOL/Trigo/trigo_adubacaoorganicaestercoavicola" xmlDataType="double"/>
    </xmlCellPr>
  </singleXmlCell>
  <singleXmlCell id="532" r="E49" connectionId="1">
    <xmlCellPr id="1" uniqueName="trigo_adubacaoorganicaoutros">
      <xmlPr mapId="13" xpath="/ns1:GHGPROTOCOL/Trigo/trigo_adubacaoorganicaoutros" xmlDataType="double"/>
    </xmlCellPr>
  </singleXmlCell>
  <singleXmlCell id="533" r="E52" connectionId="1">
    <xmlCellPr id="1" uniqueName="trigo_adubacaoverdeleguminosa">
      <xmlPr mapId="13" xpath="/ns1:GHGPROTOCOL/Trigo/trigo_adubacaoverdeleguminosa" xmlDataType="double"/>
    </xmlCellPr>
  </singleXmlCell>
  <singleXmlCell id="534" r="E53" connectionId="1">
    <xmlCellPr id="1" uniqueName="trigo_adubacaoverdegraminea">
      <xmlPr mapId="13" xpath="/ns1:GHGPROTOCOL/Trigo/trigo_adubacaoverdegraminea" xmlDataType="double"/>
    </xmlCellPr>
  </singleXmlCell>
  <singleXmlCell id="535" r="E54" connectionId="1">
    <xmlCellPr id="1" uniqueName="trigo_adubacaoverdeoutros">
      <xmlPr mapId="13" xpath="/ns1:GHGPROTOCOL/Trigo/trigo_adubacaoverdeoutros" xmlDataType="double"/>
    </xmlCellPr>
  </singleXmlCell>
  <singleXmlCell id="536" r="E58" connectionId="1">
    <xmlCellPr id="1" uniqueName="trigo_herbicida">
      <xmlPr mapId="13" xpath="/ns1:GHGPROTOCOL/Trigo/trigo_herbicida" xmlDataType="double"/>
    </xmlCellPr>
  </singleXmlCell>
  <singleXmlCell id="537" r="E59" connectionId="1">
    <xmlCellPr id="1" uniqueName="trigo_inseticida">
      <xmlPr mapId="13" xpath="/ns1:GHGPROTOCOL/Trigo/trigo_inseticida" xmlDataType="double"/>
    </xmlCellPr>
  </singleXmlCell>
  <singleXmlCell id="538" r="E60" connectionId="1">
    <xmlCellPr id="1" uniqueName="trigo_fungicida">
      <xmlPr mapId="13" xpath="/ns1:GHGPROTOCOL/Trigo/trigo_fungicida" xmlDataType="double"/>
    </xmlCellPr>
  </singleXmlCell>
  <singleXmlCell id="539" r="E64" connectionId="1">
    <xmlCellPr id="1" uniqueName="trigo_tipocombustivel">
      <xmlPr mapId="13" xpath="/ns1:GHGPROTOCOL/Trigo/trigo_tipocombustivel" xmlDataType="string"/>
    </xmlCellPr>
  </singleXmlCell>
  <singleXmlCell id="540" r="E65" connectionId="1">
    <xmlCellPr id="1" uniqueName="trigo_tipoconsumocombustivel">
      <xmlPr mapId="13" xpath="/ns1:GHGPROTOCOL/Trigo/trigo_tipoconsumocombustivel" xmlDataType="string"/>
    </xmlCellPr>
  </singleXmlCell>
  <singleXmlCell id="541" r="E75" connectionId="1">
    <xmlCellPr id="1" uniqueName="trigo_consumodiesel">
      <xmlPr mapId="13" xpath="/ns1:GHGPROTOCOL/Trigo/trigo_consumodiesel" xmlDataType="double"/>
    </xmlCellPr>
  </singleXmlCell>
  <singleXmlCell id="542" r="D68" connectionId="1">
    <xmlCellPr id="1" uniqueName="trigo_operacaomecanizada_plantio">
      <xmlPr mapId="13" xpath="/ns1:GHGPROTOCOL/Trigo/trigo_operacaomecanizada_plantio" xmlDataType="string"/>
    </xmlCellPr>
  </singleXmlCell>
  <singleXmlCell id="543" r="D69" connectionId="1">
    <xmlCellPr id="1" uniqueName="trigo_operacaomecanizada_herbicida">
      <xmlPr mapId="13" xpath="/ns1:GHGPROTOCOL/Trigo/trigo_operacaomecanizada_herbicida" xmlDataType="string"/>
    </xmlCellPr>
  </singleXmlCell>
  <singleXmlCell id="544" r="D70" connectionId="1">
    <xmlCellPr id="1" uniqueName="trigo_operacaomecanizada_inseticida">
      <xmlPr mapId="13" xpath="/ns1:GHGPROTOCOL/Trigo/trigo_operacaomecanizada_inseticida" xmlDataType="string"/>
    </xmlCellPr>
  </singleXmlCell>
  <singleXmlCell id="545" r="D71" connectionId="1">
    <xmlCellPr id="1" uniqueName="trigo_operacaomecanizada_fungicida">
      <xmlPr mapId="13" xpath="/ns1:GHGPROTOCOL/Trigo/trigo_operacaomecanizada_fungicida" xmlDataType="string"/>
    </xmlCellPr>
  </singleXmlCell>
  <singleXmlCell id="546" r="D72" connectionId="1">
    <xmlCellPr id="1" uniqueName="trigo_operacaomecanizada_colheita">
      <xmlPr mapId="13" xpath="/ns1:GHGPROTOCOL/Trigo/trigo_operacaomecanizada_colheita" xmlDataType="string"/>
    </xmlCellPr>
  </singleXmlCell>
  <singleXmlCell id="547" r="E68" connectionId="1">
    <xmlCellPr id="1" uniqueName="trigo_operacaomecanizada_plantio_repeticoes">
      <xmlPr mapId="13" xpath="/ns1:GHGPROTOCOL/Trigo/trigo_operacaomecanizada_plantio_repeticoes" xmlDataType="double"/>
    </xmlCellPr>
  </singleXmlCell>
  <singleXmlCell id="548" r="E69" connectionId="1">
    <xmlCellPr id="1" uniqueName="trigo_operacaomecanizada_herbicida_repeticoes">
      <xmlPr mapId="13" xpath="/ns1:GHGPROTOCOL/Trigo/trigo_operacaomecanizada_herbicida_repeticoes" xmlDataType="double"/>
    </xmlCellPr>
  </singleXmlCell>
  <singleXmlCell id="549" r="E70" connectionId="1">
    <xmlCellPr id="1" uniqueName="trigo_operacaomecanizada_inseticida_repeticoes">
      <xmlPr mapId="13" xpath="/ns1:GHGPROTOCOL/Trigo/trigo_operacaomecanizada_inseticida_repeticoes" xmlDataType="double"/>
    </xmlCellPr>
  </singleXmlCell>
  <singleXmlCell id="550" r="E71" connectionId="1">
    <xmlCellPr id="1" uniqueName="trigo_operacaomecanizada_fungicida_repeticoes">
      <xmlPr mapId="13" xpath="/ns1:GHGPROTOCOL/Trigo/trigo_operacaomecanizada_fungicida_repeticoes" xmlDataType="double"/>
    </xmlCellPr>
  </singleXmlCell>
  <singleXmlCell id="551" r="E72" connectionId="1">
    <xmlCellPr id="1" uniqueName="trigo_operacaomecanizada_colheita_repeticoes">
      <xmlPr mapId="13" xpath="/ns1:GHGPROTOCOL/Trigo/trigo_operacaomecanizada_colheita_repeticoes" xmlDataType="double"/>
    </xmlCellPr>
  </singleXmlCell>
</singleXmlCells>
</file>

<file path=xl/tables/tableSingleCells6.xml><?xml version="1.0" encoding="utf-8"?>
<singleXmlCells xmlns="http://schemas.openxmlformats.org/spreadsheetml/2006/main">
  <singleXmlCell id="52" r="E18" connectionId="1">
    <xmlCellPr id="1" uniqueName="arroz_estado">
      <xmlPr mapId="13" xpath="/ns1:GHGPROTOCOL/Arroz/arroz_estado" xmlDataType="string"/>
    </xmlCellPr>
  </singleXmlCell>
  <singleXmlCell id="53" r="E19" connectionId="1">
    <xmlCellPr id="1" uniqueName="arroz_latitude">
      <xmlPr mapId="13" xpath="/ns1:GHGPROTOCOL/Arroz/arroz_latitude" xmlDataType="double"/>
    </xmlCellPr>
  </singleXmlCell>
  <singleXmlCell id="54" r="E20" connectionId="1">
    <xmlCellPr id="1" uniqueName="arroz_longitude">
      <xmlPr mapId="13" xpath="/ns1:GHGPROTOCOL/Arroz/arroz_longitude" xmlDataType="double"/>
    </xmlCellPr>
  </singleXmlCell>
  <singleXmlCell id="55" r="E21" connectionId="1">
    <xmlCellPr id="1" uniqueName="arroz_bioma">
      <xmlPr mapId="13" xpath="/ns1:GHGPROTOCOL/Arroz/arroz_bioma" xmlDataType="string"/>
    </xmlCellPr>
  </singleXmlCell>
  <singleXmlCell id="56" r="E25" connectionId="1">
    <xmlCellPr id="1" uniqueName="arroz_dataplantio">
      <xmlPr mapId="13" xpath="/ns1:GHGPROTOCOL/Arroz/arroz_dataplantio" xmlDataType="date"/>
    </xmlCellPr>
  </singleXmlCell>
  <singleXmlCell id="57" r="E26" connectionId="1">
    <xmlCellPr id="1" uniqueName="arroz_datacolheita">
      <xmlPr mapId="13" xpath="/ns1:GHGPROTOCOL/Arroz/arroz_datacolheita" xmlDataType="date"/>
    </xmlCellPr>
  </singleXmlCell>
  <singleXmlCell id="58" r="E27" connectionId="1">
    <xmlCellPr id="1" uniqueName="arroz_classetexturalsolo">
      <xmlPr mapId="13" xpath="/ns1:GHGPROTOCOL/Arroz/arroz_classetexturalsolo" xmlDataType="string"/>
    </xmlCellPr>
  </singleXmlCell>
  <singleXmlCell id="59" r="E28" connectionId="1">
    <xmlCellPr id="1" uniqueName="arroz_teorargilasolo">
      <xmlPr mapId="13" xpath="/ns1:GHGPROTOCOL/Arroz/arroz_teorargilasolo" xmlDataType="string"/>
    </xmlCellPr>
  </singleXmlCell>
  <singleXmlCell id="60" r="E29" connectionId="1">
    <xmlCellPr id="1" uniqueName="arroz_usoanteriorterra">
      <xmlPr mapId="13" xpath="/ns1:GHGPROTOCOL/Arroz/arroz_usoanteriorterra" xmlDataType="string"/>
    </xmlCellPr>
  </singleXmlCell>
  <singleXmlCell id="61" r="E30" connectionId="1">
    <xmlCellPr id="1" uniqueName="arroz_manejosolo">
      <xmlPr mapId="13" xpath="/ns1:GHGPROTOCOL/Arroz/arroz_manejosolo" xmlDataType="string"/>
    </xmlCellPr>
  </singleXmlCell>
  <singleXmlCell id="62" r="E31" connectionId="1">
    <xmlCellPr id="1" uniqueName="arroz_tempoadocaosistema">
      <xmlPr mapId="13" xpath="/ns1:GHGPROTOCOL/Arroz/arroz_tempoadocaosistema" xmlDataType="string"/>
    </xmlCellPr>
  </singleXmlCell>
  <singleXmlCell id="63" r="E32" connectionId="1">
    <xmlCellPr id="1" uniqueName="arroz_preparosolo">
      <xmlPr mapId="13" xpath="/ns1:GHGPROTOCOL/Arroz/arroz_preparosolo" xmlDataType="string"/>
    </xmlCellPr>
  </singleXmlCell>
  <singleXmlCell id="64" r="E33" connectionId="1">
    <xmlCellPr id="1" uniqueName="arroz_regimehidrico">
      <xmlPr mapId="13" xpath="/ns1:GHGPROTOCOL/Arroz/arroz_regimehidrico" xmlDataType="string"/>
    </xmlCellPr>
  </singleXmlCell>
  <singleXmlCell id="65" r="E34" connectionId="1">
    <xmlCellPr id="1" uniqueName="arroz_areaqueimaresiduos">
      <xmlPr mapId="13" xpath="/ns1:GHGPROTOCOL/Arroz/arroz_areaqueimaresiduos" xmlDataType="double"/>
    </xmlCellPr>
  </singleXmlCell>
  <singleXmlCell id="66" r="E35" connectionId="1">
    <xmlCellPr id="1" uniqueName="arroz_cultivosoloorganico">
      <xmlPr mapId="13" xpath="/ns1:GHGPROTOCOL/Arroz/arroz_cultivosoloorganico" xmlDataType="double"/>
    </xmlCellPr>
  </singleXmlCell>
  <singleXmlCell id="67" r="E36" connectionId="1">
    <xmlCellPr id="1" uniqueName="arroz_areacultivada">
      <xmlPr mapId="13" xpath="/ns1:GHGPROTOCOL/Arroz/arroz_areacultivada" xmlDataType="double"/>
    </xmlCellPr>
  </singleXmlCell>
  <singleXmlCell id="68" r="E37" connectionId="1">
    <xmlCellPr id="1" uniqueName="arroz_produtividademedia">
      <xmlPr mapId="13" xpath="/ns1:GHGPROTOCOL/Arroz/arroz_produtividademedia" xmlDataType="double"/>
    </xmlCellPr>
  </singleXmlCell>
  <singleXmlCell id="69" r="E41" connectionId="1">
    <xmlCellPr id="1" uniqueName="arroz_adubacaonitrogenadasintetica">
      <xmlPr mapId="13" xpath="/ns1:GHGPROTOCOL/Arroz/arroz_adubacaonitrogenadasintetica" xmlDataType="double"/>
    </xmlCellPr>
  </singleXmlCell>
  <singleXmlCell id="70" r="E42" connectionId="1">
    <xmlCellPr id="1" uniqueName="arroz_nadubosintetico">
      <xmlPr mapId="13" xpath="/ns1:GHGPROTOCOL/Arroz/arroz_nadubosintetico" xmlDataType="double"/>
    </xmlCellPr>
  </singleXmlCell>
  <singleXmlCell id="71" r="E43" connectionId="1">
    <xmlCellPr id="1" uniqueName="arroz_ureia">
      <xmlPr mapId="13" xpath="/ns1:GHGPROTOCOL/Arroz/arroz_ureia" xmlDataType="double"/>
    </xmlCellPr>
  </singleXmlCell>
  <singleXmlCell id="72" r="E44" connectionId="1">
    <xmlCellPr id="1" uniqueName="arroz_calcariocalcitico">
      <xmlPr mapId="13" xpath="/ns1:GHGPROTOCOL/Arroz/arroz_calcariocalcitico" xmlDataType="double"/>
    </xmlCellPr>
  </singleXmlCell>
  <singleXmlCell id="73" r="E45" connectionId="1">
    <xmlCellPr id="1" uniqueName="arroz_calcariodolomitico">
      <xmlPr mapId="13" xpath="/ns1:GHGPROTOCOL/Arroz/arroz_calcariodolomitico" xmlDataType="double"/>
    </xmlCellPr>
  </singleXmlCell>
  <singleXmlCell id="74" r="E48" connectionId="1">
    <xmlCellPr id="1" uniqueName="arroz_quantidadeaduboorganico">
      <xmlPr mapId="13" xpath="/ns1:GHGPROTOCOL/Arroz/arroz_quantidadeaduboorganico" xmlDataType="string"/>
    </xmlCellPr>
  </singleXmlCell>
  <singleXmlCell id="75" r="E49" connectionId="1">
    <xmlCellPr id="1" uniqueName="arroz_materiaorganicafermentada">
      <xmlPr mapId="13" xpath="/ns1:GHGPROTOCOL/Arroz/arroz_materiaorganicafermentada" xmlDataType="string"/>
    </xmlCellPr>
  </singleXmlCell>
  <singleXmlCell id="77" r="E52" connectionId="1">
    <xmlCellPr id="1" uniqueName="arroz_adubacaoverdeleguminosa">
      <xmlPr mapId="13" xpath="/ns1:GHGPROTOCOL/Arroz/arroz_adubacaoverdeleguminosa" xmlDataType="double"/>
    </xmlCellPr>
  </singleXmlCell>
  <singleXmlCell id="78" r="E53" connectionId="1">
    <xmlCellPr id="1" uniqueName="arroz_adubacaoverdegraminea">
      <xmlPr mapId="13" xpath="/ns1:GHGPROTOCOL/Arroz/arroz_adubacaoverdegraminea" xmlDataType="double"/>
    </xmlCellPr>
  </singleXmlCell>
  <singleXmlCell id="79" r="E54" connectionId="1">
    <xmlCellPr id="1" uniqueName="arroz_adubacaoverdeoutros">
      <xmlPr mapId="13" xpath="/ns1:GHGPROTOCOL/Arroz/arroz_adubacaoverdeoutros" xmlDataType="double"/>
    </xmlCellPr>
  </singleXmlCell>
  <singleXmlCell id="80" r="E58" connectionId="1">
    <xmlCellPr id="1" uniqueName="arroz_herbicida">
      <xmlPr mapId="13" xpath="/ns1:GHGPROTOCOL/Arroz/arroz_herbicida" xmlDataType="double"/>
    </xmlCellPr>
  </singleXmlCell>
  <singleXmlCell id="81" r="E59" connectionId="1">
    <xmlCellPr id="1" uniqueName="arroz_inseticida">
      <xmlPr mapId="13" xpath="/ns1:GHGPROTOCOL/Arroz/arroz_inseticida" xmlDataType="double"/>
    </xmlCellPr>
  </singleXmlCell>
  <singleXmlCell id="82" r="E60" connectionId="1">
    <xmlCellPr id="1" uniqueName="arroz_fungicida">
      <xmlPr mapId="13" xpath="/ns1:GHGPROTOCOL/Arroz/arroz_fungicida" xmlDataType="double"/>
    </xmlCellPr>
  </singleXmlCell>
  <singleXmlCell id="83" r="E64" connectionId="1">
    <xmlCellPr id="1" uniqueName="arroz_tipocombustivel">
      <xmlPr mapId="13" xpath="/ns1:GHGPROTOCOL/Arroz/arroz_tipocombustivel" xmlDataType="string"/>
    </xmlCellPr>
  </singleXmlCell>
  <singleXmlCell id="84" r="E65" connectionId="1">
    <xmlCellPr id="1" uniqueName="arroz_tipoconsumocombustivel">
      <xmlPr mapId="13" xpath="/ns1:GHGPROTOCOL/Arroz/arroz_tipoconsumocombustivel" xmlDataType="string"/>
    </xmlCellPr>
  </singleXmlCell>
  <singleXmlCell id="85" r="E79" connectionId="1">
    <xmlCellPr id="1" uniqueName="arroz_consumodiesel">
      <xmlPr mapId="13" xpath="/ns1:GHGPROTOCOL/Arroz/arroz_consumodiesel" xmlDataType="double"/>
    </xmlCellPr>
  </singleXmlCell>
  <singleXmlCell id="86" r="D68" connectionId="1">
    <xmlCellPr id="1" uniqueName="arroz_operacaomecanizada_calagem">
      <xmlPr mapId="13" xpath="/ns1:GHGPROTOCOL/Arroz/arroz_operacaomecanizada_calagem" xmlDataType="string"/>
    </xmlCellPr>
  </singleXmlCell>
  <singleXmlCell id="87" r="D69" connectionId="1">
    <xmlCellPr id="1" uniqueName="arroz_operacaomecanizada_gradagemaradora">
      <xmlPr mapId="13" xpath="/ns1:GHGPROTOCOL/Arroz/arroz_operacaomecanizada_gradagemaradora" xmlDataType="string"/>
    </xmlCellPr>
  </singleXmlCell>
  <singleXmlCell id="88" r="D70" connectionId="1">
    <xmlCellPr id="1" uniqueName="arroz_operacaomecanizada_gradagemniveladora">
      <xmlPr mapId="13" xpath="/ns1:GHGPROTOCOL/Arroz/arroz_operacaomecanizada_gradagemniveladora" xmlDataType="string"/>
    </xmlCellPr>
  </singleXmlCell>
  <singleXmlCell id="89" r="D71" connectionId="1">
    <xmlCellPr id="1" uniqueName="arroz_operacaomecanizada_reformataipas">
      <xmlPr mapId="13" xpath="/ns1:GHGPROTOCOL/Arroz/arroz_operacaomecanizada_reformataipas" xmlDataType="string"/>
    </xmlCellPr>
  </singleXmlCell>
  <singleXmlCell id="90" r="D72" connectionId="1">
    <xmlCellPr id="1" uniqueName="arroz_operacaomecanizada_plantio">
      <xmlPr mapId="13" xpath="/ns1:GHGPROTOCOL/Arroz/arroz_operacaomecanizada_plantio" xmlDataType="string"/>
    </xmlCellPr>
  </singleXmlCell>
  <singleXmlCell id="91" r="D73" connectionId="1">
    <xmlCellPr id="1" uniqueName="arroz_operacaomecanizada_transporteinterno">
      <xmlPr mapId="13" xpath="/ns1:GHGPROTOCOL/Arroz/arroz_operacaomecanizada_transporteinterno" xmlDataType="string"/>
    </xmlCellPr>
  </singleXmlCell>
  <singleXmlCell id="92" r="D74" connectionId="1">
    <xmlCellPr id="1" uniqueName="arroz_operacaomecanizada_adubacaocobertura">
      <xmlPr mapId="13" xpath="/ns1:GHGPROTOCOL/Arroz/arroz_operacaomecanizada_adubacaocobertura" xmlDataType="string"/>
    </xmlCellPr>
  </singleXmlCell>
  <singleXmlCell id="93" r="D75" connectionId="1">
    <xmlCellPr id="1" uniqueName="arroz_operacaomecanizada_aplicacaodeherbicidapreemergente">
      <xmlPr mapId="13" xpath="/ns1:GHGPROTOCOL/Arroz/arroz_operacaomecanizada_aplicacaodeherbicidapreemergente" xmlDataType="string"/>
    </xmlCellPr>
  </singleXmlCell>
  <singleXmlCell id="94" r="D76" connectionId="1">
    <xmlCellPr id="1" uniqueName="arroz_operacaomecanizada_colheita">
      <xmlPr mapId="13" xpath="/ns1:GHGPROTOCOL/Arroz/arroz_operacaomecanizada_colheita" xmlDataType="string"/>
    </xmlCellPr>
  </singleXmlCell>
  <singleXmlCell id="95" r="E68" connectionId="1">
    <xmlCellPr id="1" uniqueName="arroz_operacaomecanizada_calagem_repeticoes">
      <xmlPr mapId="13" xpath="/ns1:GHGPROTOCOL/Arroz/arroz_operacaomecanizada_calagem_repeticoes" xmlDataType="double"/>
    </xmlCellPr>
  </singleXmlCell>
  <singleXmlCell id="96" r="E69" connectionId="1">
    <xmlCellPr id="1" uniqueName="arroz_operacaomecanizada_gradagemaradora_repeticoes">
      <xmlPr mapId="13" xpath="/ns1:GHGPROTOCOL/Arroz/arroz_operacaomecanizada_gradagemaradora_repeticoes" xmlDataType="double"/>
    </xmlCellPr>
  </singleXmlCell>
  <singleXmlCell id="97" r="E70" connectionId="1">
    <xmlCellPr id="1" uniqueName="arroz_operacaomecanizada_gradagemniveladora_repeticoes">
      <xmlPr mapId="13" xpath="/ns1:GHGPROTOCOL/Arroz/arroz_operacaomecanizada_gradagemniveladora_repeticoes" xmlDataType="double"/>
    </xmlCellPr>
  </singleXmlCell>
  <singleXmlCell id="98" r="E71" connectionId="1">
    <xmlCellPr id="1" uniqueName="arroz_operacaomecanizada_reformataipas_repeticoes">
      <xmlPr mapId="13" xpath="/ns1:GHGPROTOCOL/Arroz/arroz_operacaomecanizada_reformataipas_repeticoes" xmlDataType="double"/>
    </xmlCellPr>
  </singleXmlCell>
  <singleXmlCell id="99" r="E72" connectionId="1">
    <xmlCellPr id="1" uniqueName="arroz_operacaomecanizada_plantio_repeticoes">
      <xmlPr mapId="13" xpath="/ns1:GHGPROTOCOL/Arroz/arroz_operacaomecanizada_plantio_repeticoes" xmlDataType="double"/>
    </xmlCellPr>
  </singleXmlCell>
  <singleXmlCell id="100" r="E73" connectionId="1">
    <xmlCellPr id="1" uniqueName="arroz_operacaomecanizada_transporteinterno_repeticoes">
      <xmlPr mapId="13" xpath="/ns1:GHGPROTOCOL/Arroz/arroz_operacaomecanizada_transporteinterno_repeticoes" xmlDataType="double"/>
    </xmlCellPr>
  </singleXmlCell>
  <singleXmlCell id="101" r="E74" connectionId="1">
    <xmlCellPr id="1" uniqueName="arroz_operacaomecanizada_adubacaocobertura_repeticoes">
      <xmlPr mapId="13" xpath="/ns1:GHGPROTOCOL/Arroz/arroz_operacaomecanizada_adubacaocobertura_repeticoes" xmlDataType="double"/>
    </xmlCellPr>
  </singleXmlCell>
  <singleXmlCell id="102" r="E75" connectionId="1">
    <xmlCellPr id="1" uniqueName="arroz_operacaomecanizada_aplicacaodeherbicidapreemergente_repeticoes">
      <xmlPr mapId="13" xpath="/ns1:GHGPROTOCOL/Arroz/arroz_operacaomecanizada_aplicacaodeherbicidapreemergente_repeticoes" xmlDataType="double"/>
    </xmlCellPr>
  </singleXmlCell>
  <singleXmlCell id="103" r="E76" connectionId="1">
    <xmlCellPr id="1" uniqueName="arroz_operacaomecanizada_colheita_repeticoes">
      <xmlPr mapId="13" xpath="/ns1:GHGPROTOCOL/Arroz/arroz_operacaomecanizada_colheita_repeticoes" xmlDataType="double"/>
    </xmlCellPr>
  </singleXmlCell>
</singleXmlCells>
</file>

<file path=xl/tables/tableSingleCells7.xml><?xml version="1.0" encoding="utf-8"?>
<singleXmlCells xmlns="http://schemas.openxmlformats.org/spreadsheetml/2006/main">
  <singleXmlCell id="160" r="E18" connectionId="1">
    <xmlCellPr id="1" uniqueName="feijao_estado">
      <xmlPr mapId="13" xpath="/ns1:GHGPROTOCOL/Feijão/feijao_estado" xmlDataType="string"/>
    </xmlCellPr>
  </singleXmlCell>
  <singleXmlCell id="161" r="E19" connectionId="1">
    <xmlCellPr id="1" uniqueName="feijao_latitude">
      <xmlPr mapId="13" xpath="/ns1:GHGPROTOCOL/Feijão/feijao_latitude" xmlDataType="double"/>
    </xmlCellPr>
  </singleXmlCell>
  <singleXmlCell id="162" r="E20" connectionId="1">
    <xmlCellPr id="1" uniqueName="feijao_longitude">
      <xmlPr mapId="13" xpath="/ns1:GHGPROTOCOL/Feijão/feijao_longitude" xmlDataType="double"/>
    </xmlCellPr>
  </singleXmlCell>
  <singleXmlCell id="163" r="E21" connectionId="1">
    <xmlCellPr id="1" uniqueName="feijao_bioma">
      <xmlPr mapId="13" xpath="/ns1:GHGPROTOCOL/Feijão/feijao_bioma" xmlDataType="string"/>
    </xmlCellPr>
  </singleXmlCell>
  <singleXmlCell id="164" r="E25" connectionId="1">
    <xmlCellPr id="1" uniqueName="feijao_dataplantio">
      <xmlPr mapId="13" xpath="/ns1:GHGPROTOCOL/Feijão/feijao_dataplantio" xmlDataType="date"/>
    </xmlCellPr>
  </singleXmlCell>
  <singleXmlCell id="165" r="E26" connectionId="1">
    <xmlCellPr id="1" uniqueName="feijao_datacolheita">
      <xmlPr mapId="13" xpath="/ns1:GHGPROTOCOL/Feijão/feijao_datacolheita" xmlDataType="date"/>
    </xmlCellPr>
  </singleXmlCell>
  <singleXmlCell id="166" r="E27" connectionId="1">
    <xmlCellPr id="1" uniqueName="feijao_classetexturalsolo">
      <xmlPr mapId="13" xpath="/ns1:GHGPROTOCOL/Feijão/feijao_classetexturalsolo" xmlDataType="string"/>
    </xmlCellPr>
  </singleXmlCell>
  <singleXmlCell id="167" r="E28" connectionId="1">
    <xmlCellPr id="1" uniqueName="feijao_teorargilasolo">
      <xmlPr mapId="13" xpath="/ns1:GHGPROTOCOL/Feijão/feijao_teorargilasolo" xmlDataType="string"/>
    </xmlCellPr>
  </singleXmlCell>
  <singleXmlCell id="168" r="E29" connectionId="1">
    <xmlCellPr id="1" uniqueName="feijao_usoanteriorterra">
      <xmlPr mapId="13" xpath="/ns1:GHGPROTOCOL/Feijão/feijao_usoanteriorterra" xmlDataType="string"/>
    </xmlCellPr>
  </singleXmlCell>
  <singleXmlCell id="169" r="E30" connectionId="1">
    <xmlCellPr id="1" uniqueName="feijao_manejosolo">
      <xmlPr mapId="13" xpath="/ns1:GHGPROTOCOL/Feijão/feijao_manejosolo" xmlDataType="string"/>
    </xmlCellPr>
  </singleXmlCell>
  <singleXmlCell id="170" r="E31" connectionId="1">
    <xmlCellPr id="1" uniqueName="feijao_tempoadocaosistema">
      <xmlPr mapId="13" xpath="/ns1:GHGPROTOCOL/Feijão/feijao_tempoadocaosistema" xmlDataType="string"/>
    </xmlCellPr>
  </singleXmlCell>
  <singleXmlCell id="171" r="E32" connectionId="1">
    <xmlCellPr id="1" uniqueName="feijao_areaqueimaresiduos">
      <xmlPr mapId="13" xpath="/ns1:GHGPROTOCOL/Feijão/feijao_areaqueimaresiduos" xmlDataType="double"/>
    </xmlCellPr>
  </singleXmlCell>
  <singleXmlCell id="172" r="E33" connectionId="1">
    <xmlCellPr id="1" uniqueName="feijao_cultivosoloorganico">
      <xmlPr mapId="13" xpath="/ns1:GHGPROTOCOL/Feijão/feijao_cultivosoloorganico" xmlDataType="double"/>
    </xmlCellPr>
  </singleXmlCell>
  <singleXmlCell id="173" r="E34" connectionId="1">
    <xmlCellPr id="1" uniqueName="feijao_areacultivada">
      <xmlPr mapId="13" xpath="/ns1:GHGPROTOCOL/Feijão/feijao_areacultivada" xmlDataType="double"/>
    </xmlCellPr>
  </singleXmlCell>
  <singleXmlCell id="174" r="E35" connectionId="1">
    <xmlCellPr id="1" uniqueName="feijao_produtividademedia">
      <xmlPr mapId="13" xpath="/ns1:GHGPROTOCOL/Feijão/feijao_produtividademedia" xmlDataType="double"/>
    </xmlCellPr>
  </singleXmlCell>
  <singleXmlCell id="175" r="E39" connectionId="1">
    <xmlCellPr id="1" uniqueName="feijao_adubacaonitrogenadasintetica">
      <xmlPr mapId="13" xpath="/ns1:GHGPROTOCOL/Feijão/feijao_adubacaonitrogenadasintetica" xmlDataType="double"/>
    </xmlCellPr>
  </singleXmlCell>
  <singleXmlCell id="176" r="E40" connectionId="1">
    <xmlCellPr id="1" uniqueName="feijao_nadubosintetico">
      <xmlPr mapId="13" xpath="/ns1:GHGPROTOCOL/Feijão/feijao_nadubosintetico" xmlDataType="double"/>
    </xmlCellPr>
  </singleXmlCell>
  <singleXmlCell id="177" r="E41" connectionId="1">
    <xmlCellPr id="1" uniqueName="feijao_ureia">
      <xmlPr mapId="13" xpath="/ns1:GHGPROTOCOL/Feijão/feijao_ureia" xmlDataType="double"/>
    </xmlCellPr>
  </singleXmlCell>
  <singleXmlCell id="178" r="E42" connectionId="1">
    <xmlCellPr id="1" uniqueName="feijao_calcariocalcitico">
      <xmlPr mapId="13" xpath="/ns1:GHGPROTOCOL/Feijão/feijao_calcariocalcitico" xmlDataType="double"/>
    </xmlCellPr>
  </singleXmlCell>
  <singleXmlCell id="179" r="E43" connectionId="1">
    <xmlCellPr id="1" uniqueName="feijao_calcariodolomitico">
      <xmlPr mapId="13" xpath="/ns1:GHGPROTOCOL/Feijão/feijao_calcariodolomitico" xmlDataType="double"/>
    </xmlCellPr>
  </singleXmlCell>
  <singleXmlCell id="180" r="E46" connectionId="1">
    <xmlCellPr id="1" uniqueName="feijao_adubacaoorganicacompostoorganico">
      <xmlPr mapId="13" xpath="/ns1:GHGPROTOCOL/Feijão/feijao_adubacaoorganicacompostoorganico" xmlDataType="double"/>
    </xmlCellPr>
  </singleXmlCell>
  <singleXmlCell id="181" r="E47" connectionId="1">
    <xmlCellPr id="1" uniqueName="feijao_adubacaoorganicaestercogeral">
      <xmlPr mapId="13" xpath="/ns1:GHGPROTOCOL/Feijão/feijao_adubacaoorganicaestercogeral" xmlDataType="double"/>
    </xmlCellPr>
  </singleXmlCell>
  <singleXmlCell id="182" r="E48" connectionId="1">
    <xmlCellPr id="1" uniqueName="feijao_adubacaoorganicaestercoavicola">
      <xmlPr mapId="13" xpath="/ns1:GHGPROTOCOL/Feijão/feijao_adubacaoorganicaestercoavicola" xmlDataType="double"/>
    </xmlCellPr>
  </singleXmlCell>
  <singleXmlCell id="183" r="E49" connectionId="1">
    <xmlCellPr id="1" uniqueName="feijao_adubacaoorganicaoutros">
      <xmlPr mapId="13" xpath="/ns1:GHGPROTOCOL/Feijão/feijao_adubacaoorganicaoutros" xmlDataType="double"/>
    </xmlCellPr>
  </singleXmlCell>
  <singleXmlCell id="185" r="E52" connectionId="1">
    <xmlCellPr id="1" uniqueName="feijao_adubacaoverdeleguminosa">
      <xmlPr mapId="13" xpath="/ns1:GHGPROTOCOL/Feijão/feijao_adubacaoverdeleguminosa" xmlDataType="double"/>
    </xmlCellPr>
  </singleXmlCell>
  <singleXmlCell id="186" r="E53" connectionId="1">
    <xmlCellPr id="1" uniqueName="feijao_adubacaoverdegraminea">
      <xmlPr mapId="13" xpath="/ns1:GHGPROTOCOL/Feijão/feijao_adubacaoverdegraminea" xmlDataType="double"/>
    </xmlCellPr>
  </singleXmlCell>
  <singleXmlCell id="187" r="E54" connectionId="1">
    <xmlCellPr id="1" uniqueName="feijao_adubacaoverdeoutros">
      <xmlPr mapId="13" xpath="/ns1:GHGPROTOCOL/Feijão/feijao_adubacaoverdeoutros" xmlDataType="double"/>
    </xmlCellPr>
  </singleXmlCell>
  <singleXmlCell id="188" r="E58" connectionId="1">
    <xmlCellPr id="1" uniqueName="feijao_herbicida">
      <xmlPr mapId="13" xpath="/ns1:GHGPROTOCOL/Feijão/feijao_herbicida" xmlDataType="double"/>
    </xmlCellPr>
  </singleXmlCell>
  <singleXmlCell id="189" r="E59" connectionId="1">
    <xmlCellPr id="1" uniqueName="feijao_inseticida">
      <xmlPr mapId="13" xpath="/ns1:GHGPROTOCOL/Feijão/feijao_inseticida" xmlDataType="double"/>
    </xmlCellPr>
  </singleXmlCell>
  <singleXmlCell id="190" r="E60" connectionId="1">
    <xmlCellPr id="1" uniqueName="feijao_fungicida">
      <xmlPr mapId="13" xpath="/ns1:GHGPROTOCOL/Feijão/feijao_fungicida" xmlDataType="double"/>
    </xmlCellPr>
  </singleXmlCell>
  <singleXmlCell id="191" r="E64" connectionId="1">
    <xmlCellPr id="1" uniqueName="feijao_tipocombustivel">
      <xmlPr mapId="13" xpath="/ns1:GHGPROTOCOL/Feijão/feijao_tipocombustivel" xmlDataType="string"/>
    </xmlCellPr>
  </singleXmlCell>
  <singleXmlCell id="192" r="E65" connectionId="1">
    <xmlCellPr id="1" uniqueName="feijao_tipoconsumocombustivel">
      <xmlPr mapId="13" xpath="/ns1:GHGPROTOCOL/Feijão/feijao_tipoconsumocombustivel" xmlDataType="string"/>
    </xmlCellPr>
  </singleXmlCell>
  <singleXmlCell id="193" r="E80" connectionId="1">
    <xmlCellPr id="1" uniqueName="feijao_consumodiesel">
      <xmlPr mapId="13" xpath="/ns1:GHGPROTOCOL/Feijão/feijao_consumodiesel" xmlDataType="double"/>
    </xmlCellPr>
  </singleXmlCell>
  <singleXmlCell id="194" r="D68" connectionId="1">
    <xmlCellPr id="1" uniqueName="feijao_operacaomecanizada_calagem">
      <xmlPr mapId="13" xpath="/ns1:GHGPROTOCOL/Feijão/feijao_operacaomecanizada_calagem" xmlDataType="string"/>
    </xmlCellPr>
  </singleXmlCell>
  <singleXmlCell id="195" r="D69" connectionId="1">
    <xmlCellPr id="1" uniqueName="feijao_operacaomecanizada_aracao">
      <xmlPr mapId="13" xpath="/ns1:GHGPROTOCOL/Feijão/feijao_operacaomecanizada_aracao" xmlDataType="string"/>
    </xmlCellPr>
  </singleXmlCell>
  <singleXmlCell id="196" r="D70" connectionId="1">
    <xmlCellPr id="1" uniqueName="feijao_operacaomecanizada_gradagemniveladora">
      <xmlPr mapId="13" xpath="/ns1:GHGPROTOCOL/Feijão/feijao_operacaomecanizada_gradagemniveladora" xmlDataType="string"/>
    </xmlCellPr>
  </singleXmlCell>
  <singleXmlCell id="197" r="D71" connectionId="1">
    <xmlCellPr id="1" uniqueName="feijao_operacaomecanizada_plantio">
      <xmlPr mapId="13" xpath="/ns1:GHGPROTOCOL/Feijão/feijao_operacaomecanizada_plantio" xmlDataType="string"/>
    </xmlCellPr>
  </singleXmlCell>
  <singleXmlCell id="198" r="D72" connectionId="1">
    <xmlCellPr id="1" uniqueName="feijao_operacaomecanizada_transporteinternodeinsumosparaplantio">
      <xmlPr mapId="13" xpath="/ns1:GHGPROTOCOL/Feijão/feijao_operacaomecanizada_transporteinternodeinsumosparaplantio" xmlDataType="string"/>
    </xmlCellPr>
  </singleXmlCell>
  <singleXmlCell id="199" r="D73" connectionId="1">
    <xmlCellPr id="1" uniqueName="feijao_operacaomecanizada_adubacaodecobertura">
      <xmlPr mapId="13" xpath="/ns1:GHGPROTOCOL/Feijão/feijao_operacaomecanizada_adubacaodecobertura" xmlDataType="string"/>
    </xmlCellPr>
  </singleXmlCell>
  <singleXmlCell id="200" r="D74" connectionId="1">
    <xmlCellPr id="1" uniqueName="feijao_operacaomecanizada_herbicidaposemergente">
      <xmlPr mapId="13" xpath="/ns1:GHGPROTOCOL/Feijão/feijao_operacaomecanizada_herbicidaposemergente" xmlDataType="string"/>
    </xmlCellPr>
  </singleXmlCell>
  <singleXmlCell id="201" r="D75" connectionId="1">
    <xmlCellPr id="1" uniqueName="feijao_operacaomecanizada_aplicacaodefungicida">
      <xmlPr mapId="13" xpath="/ns1:GHGPROTOCOL/Feijão/feijao_operacaomecanizada_aplicacaodefungicida" xmlDataType="string"/>
    </xmlCellPr>
  </singleXmlCell>
  <singleXmlCell id="202" r="D76" connectionId="1">
    <xmlCellPr id="1" uniqueName="feijao_operacaomecanizada_trilhacombatedeiradecereais">
      <xmlPr mapId="13" xpath="/ns1:GHGPROTOCOL/Feijão/feijao_operacaomecanizada_trilhacombatedeiradecereais" xmlDataType="string"/>
    </xmlCellPr>
  </singleXmlCell>
  <singleXmlCell id="203" r="D77" connectionId="1">
    <xmlCellPr id="1" uniqueName="feijao_operacaomecanizada_transporteinternoproducao">
      <xmlPr mapId="13" xpath="/ns1:GHGPROTOCOL/Feijão/feijao_operacaomecanizada_transporteinternoproducao" xmlDataType="string"/>
    </xmlCellPr>
  </singleXmlCell>
  <singleXmlCell id="204" r="E68" connectionId="1">
    <xmlCellPr id="1" uniqueName="feijao_operacaomecanizada_calagem_repeticoes">
      <xmlPr mapId="13" xpath="/ns1:GHGPROTOCOL/Feijão/feijao_operacaomecanizada_calagem_repeticoes" xmlDataType="double"/>
    </xmlCellPr>
  </singleXmlCell>
  <singleXmlCell id="205" r="E69" connectionId="1">
    <xmlCellPr id="1" uniqueName="feijao_operacaomecanizada_aracao_repeticoes">
      <xmlPr mapId="13" xpath="/ns1:GHGPROTOCOL/Feijão/feijao_operacaomecanizada_aracao_repeticoes" xmlDataType="double"/>
    </xmlCellPr>
  </singleXmlCell>
  <singleXmlCell id="206" r="E70" connectionId="1">
    <xmlCellPr id="1" uniqueName="feijao_operacaomecanizada_gradagemniveladora_repeticoes">
      <xmlPr mapId="13" xpath="/ns1:GHGPROTOCOL/Feijão/feijao_operacaomecanizada_gradagemniveladora_repeticoes" xmlDataType="double"/>
    </xmlCellPr>
  </singleXmlCell>
  <singleXmlCell id="207" r="E71" connectionId="1">
    <xmlCellPr id="1" uniqueName="feijao_operacaomecanizada_plantio_repeticoes">
      <xmlPr mapId="13" xpath="/ns1:GHGPROTOCOL/Feijão/feijao_operacaomecanizada_plantio_repeticoes" xmlDataType="double"/>
    </xmlCellPr>
  </singleXmlCell>
  <singleXmlCell id="208" r="E72" connectionId="1">
    <xmlCellPr id="1" uniqueName="feijao_operacaomecanizada_transporteinternodeinsumosparaplantio_repeticoes">
      <xmlPr mapId="13" xpath="/ns1:GHGPROTOCOL/Feijão/feijao_operacaomecanizada_transporteinternodeinsumosparaplantio_repeticoes" xmlDataType="double"/>
    </xmlCellPr>
  </singleXmlCell>
  <singleXmlCell id="209" r="E73" connectionId="1">
    <xmlCellPr id="1" uniqueName="feijao_operacaomecanizada_adubacaodecobertura_repeticoes">
      <xmlPr mapId="13" xpath="/ns1:GHGPROTOCOL/Feijão/feijao_operacaomecanizada_adubacaodecobertura_repeticoes" xmlDataType="double"/>
    </xmlCellPr>
  </singleXmlCell>
  <singleXmlCell id="210" r="E74" connectionId="1">
    <xmlCellPr id="1" uniqueName="feijao_operacaomecanizada_herbicidaposemergente_repeticoes">
      <xmlPr mapId="13" xpath="/ns1:GHGPROTOCOL/Feijão/feijao_operacaomecanizada_herbicidaposemergente_repeticoes" xmlDataType="double"/>
    </xmlCellPr>
  </singleXmlCell>
  <singleXmlCell id="211" r="E75" connectionId="1">
    <xmlCellPr id="1" uniqueName="feijao_operacaomecanizada_aplicacaodefungicida_repeticoes">
      <xmlPr mapId="13" xpath="/ns1:GHGPROTOCOL/Feijão/feijao_operacaomecanizada_aplicacaodefungicida_repeticoes" xmlDataType="double"/>
    </xmlCellPr>
  </singleXmlCell>
  <singleXmlCell id="212" r="E76" connectionId="1">
    <xmlCellPr id="1" uniqueName="feijao_operacaomecanizada_trilhacombatedeiradecereais_repeticoes">
      <xmlPr mapId="13" xpath="/ns1:GHGPROTOCOL/Feijão/feijao_operacaomecanizada_trilhacombatedeiradecereais_repeticoes" xmlDataType="double"/>
    </xmlCellPr>
  </singleXmlCell>
  <singleXmlCell id="213" r="E77" connectionId="1">
    <xmlCellPr id="1" uniqueName="feijao_operacaomecanizada_transporteinternoproducao_repeticoes">
      <xmlPr mapId="13" xpath="/ns1:GHGPROTOCOL/Feijão/feijao_operacaomecanizada_transporteinternoproducao_repeticoes" xmlDataType="double"/>
    </xmlCellPr>
  </singleXmlCell>
</singleXmlCells>
</file>

<file path=xl/tables/tableSingleCells8.xml><?xml version="1.0" encoding="utf-8"?>
<singleXmlCells xmlns="http://schemas.openxmlformats.org/spreadsheetml/2006/main">
  <singleXmlCell id="104" r="E18" connectionId="1">
    <xmlCellPr id="1" uniqueName="cana_estado">
      <xmlPr mapId="13" xpath="/ns1:GHGPROTOCOL/Cana-de-açúcar/cana_estado" xmlDataType="string"/>
    </xmlCellPr>
  </singleXmlCell>
  <singleXmlCell id="105" r="E19" connectionId="1">
    <xmlCellPr id="1" uniqueName="cana_latitude">
      <xmlPr mapId="13" xpath="/ns1:GHGPROTOCOL/Cana-de-açúcar/cana_latitude" xmlDataType="double"/>
    </xmlCellPr>
  </singleXmlCell>
  <singleXmlCell id="106" r="E20" connectionId="1">
    <xmlCellPr id="1" uniqueName="cana_longitude">
      <xmlPr mapId="13" xpath="/ns1:GHGPROTOCOL/Cana-de-açúcar/cana_longitude" xmlDataType="double"/>
    </xmlCellPr>
  </singleXmlCell>
  <singleXmlCell id="107" r="E21" connectionId="1">
    <xmlCellPr id="1" uniqueName="cana_bioma">
      <xmlPr mapId="13" xpath="/ns1:GHGPROTOCOL/Cana-de-açúcar/cana_bioma" xmlDataType="string"/>
    </xmlCellPr>
  </singleXmlCell>
  <singleXmlCell id="108" r="E25" connectionId="1">
    <xmlCellPr id="1" uniqueName="cana_ciclocultura">
      <xmlPr mapId="13" xpath="/ns1:GHGPROTOCOL/Cana-de-açúcar/cana_ciclocultura" xmlDataType="string"/>
    </xmlCellPr>
  </singleXmlCell>
  <singleXmlCell id="109" r="E26" connectionId="1">
    <xmlCellPr id="1" uniqueName="cana_datacolheita">
      <xmlPr mapId="13" xpath="/ns1:GHGPROTOCOL/Cana-de-açúcar/cana_datacolheita" xmlDataType="date"/>
    </xmlCellPr>
  </singleXmlCell>
  <singleXmlCell id="110" r="E27" connectionId="1">
    <xmlCellPr id="1" uniqueName="cana_classetexturalsolo">
      <xmlPr mapId="13" xpath="/ns1:GHGPROTOCOL/Cana-de-açúcar/cana_classetexturalsolo" xmlDataType="string"/>
    </xmlCellPr>
  </singleXmlCell>
  <singleXmlCell id="111" r="E28" connectionId="1">
    <xmlCellPr id="1" uniqueName="cana_teorargilasolo">
      <xmlPr mapId="13" xpath="/ns1:GHGPROTOCOL/Cana-de-açúcar/cana_teorargilasolo" xmlDataType="string"/>
    </xmlCellPr>
  </singleXmlCell>
  <singleXmlCell id="112" r="E29" connectionId="1">
    <xmlCellPr id="1" uniqueName="cana_usoanteriorterra">
      <xmlPr mapId="13" xpath="/ns1:GHGPROTOCOL/Cana-de-açúcar/cana_usoanteriorterra" xmlDataType="string"/>
    </xmlCellPr>
  </singleXmlCell>
  <singleXmlCell id="113" r="E30" connectionId="1">
    <xmlCellPr id="1" uniqueName="cana_manejosolo">
      <xmlPr mapId="13" xpath="/ns1:GHGPROTOCOL/Cana-de-açúcar/cana_manejosolo" xmlDataType="string"/>
    </xmlCellPr>
  </singleXmlCell>
  <singleXmlCell id="114" r="E31" connectionId="1">
    <xmlCellPr id="1" uniqueName="cana_tempoadocaosistema">
      <xmlPr mapId="13" xpath="/ns1:GHGPROTOCOL/Cana-de-açúcar/cana_tempoadocaosistema" xmlDataType="string"/>
    </xmlCellPr>
  </singleXmlCell>
  <singleXmlCell id="115" r="E32" connectionId="1">
    <xmlCellPr id="1" uniqueName="cana_areaqueimaresiduos">
      <xmlPr mapId="13" xpath="/ns1:GHGPROTOCOL/Cana-de-açúcar/cana_areaqueimaresiduos" xmlDataType="double"/>
    </xmlCellPr>
  </singleXmlCell>
  <singleXmlCell id="116" r="E33" connectionId="1">
    <xmlCellPr id="1" uniqueName="cana_cultivosoloorganico">
      <xmlPr mapId="13" xpath="/ns1:GHGPROTOCOL/Cana-de-açúcar/cana_cultivosoloorganico" xmlDataType="double"/>
    </xmlCellPr>
  </singleXmlCell>
  <singleXmlCell id="117" r="E34" connectionId="1">
    <xmlCellPr id="1" uniqueName="cana_areacultivada">
      <xmlPr mapId="13" xpath="/ns1:GHGPROTOCOL/Cana-de-açúcar/cana_areacultivada" xmlDataType="double"/>
    </xmlCellPr>
  </singleXmlCell>
  <singleXmlCell id="118" r="E35" connectionId="1">
    <xmlCellPr id="1" uniqueName="cana_produtividademedia">
      <xmlPr mapId="13" xpath="/ns1:GHGPROTOCOL/Cana-de-açúcar/cana_produtividademedia" xmlDataType="double"/>
    </xmlCellPr>
  </singleXmlCell>
  <singleXmlCell id="119" r="E39" connectionId="1">
    <xmlCellPr id="1" uniqueName="cana_adubacaonitrogenadasintetica">
      <xmlPr mapId="13" xpath="/ns1:GHGPROTOCOL/Cana-de-açúcar/cana_adubacaonitrogenadasintetica" xmlDataType="double"/>
    </xmlCellPr>
  </singleXmlCell>
  <singleXmlCell id="120" r="E40" connectionId="1">
    <xmlCellPr id="1" uniqueName="cana_nadubosintetico">
      <xmlPr mapId="13" xpath="/ns1:GHGPROTOCOL/Cana-de-açúcar/cana_nadubosintetico" xmlDataType="double"/>
    </xmlCellPr>
  </singleXmlCell>
  <singleXmlCell id="121" r="E41" connectionId="1">
    <xmlCellPr id="1" uniqueName="cana_ureia">
      <xmlPr mapId="13" xpath="/ns1:GHGPROTOCOL/Cana-de-açúcar/cana_ureia" xmlDataType="double"/>
    </xmlCellPr>
  </singleXmlCell>
  <singleXmlCell id="122" r="E42" connectionId="1">
    <xmlCellPr id="1" uniqueName="cana_calcariocalcitico">
      <xmlPr mapId="13" xpath="/ns1:GHGPROTOCOL/Cana-de-açúcar/cana_calcariocalcitico" xmlDataType="double"/>
    </xmlCellPr>
  </singleXmlCell>
  <singleXmlCell id="123" r="E43" connectionId="1">
    <xmlCellPr id="1" uniqueName="cana_calcariodolomitico">
      <xmlPr mapId="13" xpath="/ns1:GHGPROTOCOL/Cana-de-açúcar/cana_calcariodolomitico" xmlDataType="double"/>
    </xmlCellPr>
  </singleXmlCell>
  <singleXmlCell id="124" r="E46" connectionId="1">
    <xmlCellPr id="1" uniqueName="cana_adubacaoorganicavinhaca">
      <xmlPr mapId="13" xpath="/ns1:GHGPROTOCOL/Cana-de-açúcar/cana_adubacaoorganicavinhaca" xmlDataType="double"/>
    </xmlCellPr>
  </singleXmlCell>
  <singleXmlCell id="125" r="E47" connectionId="1">
    <xmlCellPr id="1" uniqueName="cana_adubacaoorganicatortafiltro">
      <xmlPr mapId="13" xpath="/ns1:GHGPROTOCOL/Cana-de-açúcar/cana_adubacaoorganicatortafiltro" xmlDataType="double"/>
    </xmlCellPr>
  </singleXmlCell>
  <singleXmlCell id="126" r="E48" connectionId="1">
    <xmlCellPr id="1" uniqueName="cana_areaaplicacaotortadefiltro">
      <xmlPr mapId="13" xpath="/ns1:GHGPROTOCOL/Cana-de-açúcar/cana_areaaplicacaotortadefiltro" xmlDataType="double"/>
    </xmlCellPr>
  </singleXmlCell>
  <singleXmlCell id="127" r="E49" connectionId="1">
    <xmlCellPr id="1" uniqueName="cana_adubacaoorganicacompostoorganico">
      <xmlPr mapId="13" xpath="/ns1:GHGPROTOCOL/Cana-de-açúcar/cana_adubacaoorganicacompostoorganico" xmlDataType="double"/>
    </xmlCellPr>
  </singleXmlCell>
  <singleXmlCell id="128" r="E50" connectionId="1">
    <xmlCellPr id="1" uniqueName="cana_adubacaoorganicaestercogeral">
      <xmlPr mapId="13" xpath="/ns1:GHGPROTOCOL/Cana-de-açúcar/cana_adubacaoorganicaestercogeral" xmlDataType="double"/>
    </xmlCellPr>
  </singleXmlCell>
  <singleXmlCell id="129" r="E51" connectionId="1">
    <xmlCellPr id="1" uniqueName="cana_adubacaoorganicaestercoavicola">
      <xmlPr mapId="13" xpath="/ns1:GHGPROTOCOL/Cana-de-açúcar/cana_adubacaoorganicaestercoavicola" xmlDataType="double"/>
    </xmlCellPr>
  </singleXmlCell>
  <singleXmlCell id="130" r="E52" connectionId="1">
    <xmlCellPr id="1" uniqueName="cana_adubacaoorganicaoutros">
      <xmlPr mapId="13" xpath="/ns1:GHGPROTOCOL/Cana-de-açúcar/cana_adubacaoorganicaoutros" xmlDataType="double"/>
    </xmlCellPr>
  </singleXmlCell>
  <singleXmlCell id="131" r="E55" connectionId="1">
    <xmlCellPr id="1" uniqueName="cana_adubacaoverdeleguminosa">
      <xmlPr mapId="13" xpath="/ns1:GHGPROTOCOL/Cana-de-açúcar/cana_adubacaoverdeleguminosa" xmlDataType="double"/>
    </xmlCellPr>
  </singleXmlCell>
  <singleXmlCell id="132" r="E56" connectionId="1">
    <xmlCellPr id="1" uniqueName="cana_adubacaoverdegraminea">
      <xmlPr mapId="13" xpath="/ns1:GHGPROTOCOL/Cana-de-açúcar/cana_adubacaoverdegraminea" xmlDataType="double"/>
    </xmlCellPr>
  </singleXmlCell>
  <singleXmlCell id="133" r="E57" connectionId="1">
    <xmlCellPr id="1" uniqueName="cana_adubacaoverdeoutros">
      <xmlPr mapId="13" xpath="/ns1:GHGPROTOCOL/Cana-de-açúcar/cana_adubacaoverdeoutros" xmlDataType="double"/>
    </xmlCellPr>
  </singleXmlCell>
  <singleXmlCell id="135" r="E61" connectionId="1">
    <xmlCellPr id="1" uniqueName="cana_herbicida">
      <xmlPr mapId="13" xpath="/ns1:GHGPROTOCOL/Cana-de-açúcar/cana_herbicida" xmlDataType="double"/>
    </xmlCellPr>
  </singleXmlCell>
  <singleXmlCell id="136" r="E62" connectionId="1">
    <xmlCellPr id="1" uniqueName="cana_inseticida">
      <xmlPr mapId="13" xpath="/ns1:GHGPROTOCOL/Cana-de-açúcar/cana_inseticida" xmlDataType="double"/>
    </xmlCellPr>
  </singleXmlCell>
  <singleXmlCell id="137" r="E63" connectionId="1">
    <xmlCellPr id="1" uniqueName="cana_fungicida">
      <xmlPr mapId="13" xpath="/ns1:GHGPROTOCOL/Cana-de-açúcar/cana_fungicida" xmlDataType="double"/>
    </xmlCellPr>
  </singleXmlCell>
  <singleXmlCell id="138" r="E67" connectionId="1">
    <xmlCellPr id="1" uniqueName="cana_tipocombustivel">
      <xmlPr mapId="13" xpath="/ns1:GHGPROTOCOL/Cana-de-açúcar/cana_tipocombustivel" xmlDataType="string"/>
    </xmlCellPr>
  </singleXmlCell>
  <singleXmlCell id="139" r="E68" connectionId="1">
    <xmlCellPr id="1" uniqueName="cana_tipoconsumocombustivel">
      <xmlPr mapId="13" xpath="/ns1:GHGPROTOCOL/Cana-de-açúcar/cana_tipoconsumocombustivel" xmlDataType="string"/>
    </xmlCellPr>
  </singleXmlCell>
  <singleXmlCell id="140" r="E82" connectionId="1">
    <xmlCellPr id="1" uniqueName="cana_consumodiesel">
      <xmlPr mapId="13" xpath="/ns1:GHGPROTOCOL/Cana-de-açúcar/cana_consumodiesel" xmlDataType="double"/>
    </xmlCellPr>
  </singleXmlCell>
  <singleXmlCell id="141" r="D71" connectionId="1">
    <xmlCellPr id="1" uniqueName="cana_operacaomecanizada_terraceamento">
      <xmlPr mapId="13" xpath="/ns1:GHGPROTOCOL/Cana-de-açúcar/cana_operacaomecanizada_terraceamento" xmlDataType="string"/>
    </xmlCellPr>
  </singleXmlCell>
  <singleXmlCell id="142" r="D72" connectionId="1">
    <xmlCellPr id="1" uniqueName="cana_operacaomecanizada_aracao">
      <xmlPr mapId="13" xpath="/ns1:GHGPROTOCOL/Cana-de-açúcar/cana_operacaomecanizada_aracao" xmlDataType="string"/>
    </xmlCellPr>
  </singleXmlCell>
  <singleXmlCell id="143" r="D73" connectionId="1">
    <xmlCellPr id="1" uniqueName="cana_operacaomecanizada_gradagem">
      <xmlPr mapId="13" xpath="/ns1:GHGPROTOCOL/Cana-de-açúcar/cana_operacaomecanizada_gradagem" xmlDataType="string"/>
    </xmlCellPr>
  </singleXmlCell>
  <singleXmlCell id="145" r="D74" connectionId="1">
    <xmlCellPr id="1" uniqueName="cana_operacaomecanizada_gradagemniveladora">
      <xmlPr mapId="13" xpath="/ns1:GHGPROTOCOL/Cana-de-açúcar/cana_operacaomecanizada_gradagemniveladora" xmlDataType="string"/>
    </xmlCellPr>
  </singleXmlCell>
  <singleXmlCell id="146" r="D75" connectionId="1">
    <xmlCellPr id="1" uniqueName="cana_operacaomecanizada_calagem">
      <xmlPr mapId="13" xpath="/ns1:GHGPROTOCOL/Cana-de-açúcar/cana_operacaomecanizada_calagem" xmlDataType="string"/>
    </xmlCellPr>
  </singleXmlCell>
  <singleXmlCell id="147" r="D76" connectionId="1">
    <xmlCellPr id="1" uniqueName="cana_operacaomecanizada_sulcacao">
      <xmlPr mapId="13" xpath="/ns1:GHGPROTOCOL/Cana-de-açúcar/cana_operacaomecanizada_sulcacao" xmlDataType="string"/>
    </xmlCellPr>
  </singleXmlCell>
  <singleXmlCell id="148" r="D77" connectionId="1">
    <xmlCellPr id="1" uniqueName="cana_operacaomecanizada_cobricao">
      <xmlPr mapId="13" xpath="/ns1:GHGPROTOCOL/Cana-de-açúcar/cana_operacaomecanizada_cobricao" xmlDataType="string"/>
    </xmlCellPr>
  </singleXmlCell>
  <singleXmlCell id="149" r="D78" connectionId="1">
    <xmlCellPr id="1" uniqueName="cana_operacaomecanizada_pulverizacao">
      <xmlPr mapId="13" xpath="/ns1:GHGPROTOCOL/Cana-de-açúcar/cana_operacaomecanizada_pulverizacao" xmlDataType="string"/>
    </xmlCellPr>
  </singleXmlCell>
  <singleXmlCell id="150" r="D79" connectionId="1">
    <xmlCellPr id="1" uniqueName="cana_operacaomecanizada_dessecacao">
      <xmlPr mapId="13" xpath="/ns1:GHGPROTOCOL/Cana-de-açúcar/cana_operacaomecanizada_dessecacao" xmlDataType="string"/>
    </xmlCellPr>
  </singleXmlCell>
  <singleXmlCell id="151" r="E71" connectionId="1">
    <xmlCellPr id="1" uniqueName="cana_operacaomecanizada_terraceamento_repeticoes">
      <xmlPr mapId="13" xpath="/ns1:GHGPROTOCOL/Cana-de-açúcar/cana_operacaomecanizada_terraceamento_repeticoes" xmlDataType="double"/>
    </xmlCellPr>
  </singleXmlCell>
  <singleXmlCell id="152" r="E72" connectionId="1">
    <xmlCellPr id="1" uniqueName="cana_operacaomecanizada_aracao_repeticoes">
      <xmlPr mapId="13" xpath="/ns1:GHGPROTOCOL/Cana-de-açúcar/cana_operacaomecanizada_aracao_repeticoes" xmlDataType="double"/>
    </xmlCellPr>
  </singleXmlCell>
  <singleXmlCell id="153" r="E73" connectionId="1">
    <xmlCellPr id="1" uniqueName="cana_operacaomecanizada_gradagem_repeticoes">
      <xmlPr mapId="13" xpath="/ns1:GHGPROTOCOL/Cana-de-açúcar/cana_operacaomecanizada_gradagem_repeticoes" xmlDataType="double"/>
    </xmlCellPr>
  </singleXmlCell>
  <singleXmlCell id="154" r="E74" connectionId="1">
    <xmlCellPr id="1" uniqueName="cana_operacaomecanizada_gradagemniveladora_repeticoes">
      <xmlPr mapId="13" xpath="/ns1:GHGPROTOCOL/Cana-de-açúcar/cana_operacaomecanizada_gradagemniveladora_repeticoes" xmlDataType="double"/>
    </xmlCellPr>
  </singleXmlCell>
  <singleXmlCell id="155" r="E75" connectionId="1">
    <xmlCellPr id="1" uniqueName="cana_operacaomecanizada_calagem_repeticoes">
      <xmlPr mapId="13" xpath="/ns1:GHGPROTOCOL/Cana-de-açúcar/cana_operacaomecanizada_calagem_repeticoes" xmlDataType="double"/>
    </xmlCellPr>
  </singleXmlCell>
  <singleXmlCell id="156" r="E76" connectionId="1">
    <xmlCellPr id="1" uniqueName="cana_operacaomecanizada_sulcacao_repeticoes">
      <xmlPr mapId="13" xpath="/ns1:GHGPROTOCOL/Cana-de-açúcar/cana_operacaomecanizada_sulcacao_repeticoes" xmlDataType="double"/>
    </xmlCellPr>
  </singleXmlCell>
  <singleXmlCell id="157" r="E77" connectionId="1">
    <xmlCellPr id="1" uniqueName="cana_operacaomecanizada_cobricao_repeticoes">
      <xmlPr mapId="13" xpath="/ns1:GHGPROTOCOL/Cana-de-açúcar/cana_operacaomecanizada_cobricao_repeticoes" xmlDataType="double"/>
    </xmlCellPr>
  </singleXmlCell>
  <singleXmlCell id="158" r="E78" connectionId="1">
    <xmlCellPr id="1" uniqueName="cana_operacaomecanizada_pulverizacao_repeticoes">
      <xmlPr mapId="13" xpath="/ns1:GHGPROTOCOL/Cana-de-açúcar/cana_operacaomecanizada_pulverizacao_repeticoes" xmlDataType="double"/>
    </xmlCellPr>
  </singleXmlCell>
  <singleXmlCell id="159" r="E79" connectionId="1">
    <xmlCellPr id="1" uniqueName="cana_operacaomecanizada_dessecacao_repeticoes">
      <xmlPr mapId="13" xpath="/ns1:GHGPROTOCOL/Cana-de-açúcar/cana_operacaomecanizada_dessecacao_repeticoes" xmlDataType="double"/>
    </xmlCellPr>
  </singleXmlCell>
</singleXmlCells>
</file>

<file path=xl/tables/tableSingleCells9.xml><?xml version="1.0" encoding="utf-8"?>
<singleXmlCells xmlns="http://schemas.openxmlformats.org/spreadsheetml/2006/main">
  <singleXmlCell id="269" r="E18" connectionId="1">
    <xmlCellPr id="1" uniqueName="pecuariapastagem_estado">
      <xmlPr mapId="13" xpath="/ns1:GHGPROTOCOL/PecuáriaPastagem/pecuariapastagem_estado" xmlDataType="string"/>
    </xmlCellPr>
  </singleXmlCell>
  <singleXmlCell id="270" r="E19" connectionId="1">
    <xmlCellPr id="1" uniqueName="pecuariapastagem_latitude">
      <xmlPr mapId="13" xpath="/ns1:GHGPROTOCOL/PecuáriaPastagem/pecuariapastagem_latitude" xmlDataType="string"/>
    </xmlCellPr>
  </singleXmlCell>
  <singleXmlCell id="271" r="E20" connectionId="1">
    <xmlCellPr id="1" uniqueName="pecuariapastagem_longitude">
      <xmlPr mapId="13" xpath="/ns1:GHGPROTOCOL/PecuáriaPastagem/pecuariapastagem_longitude" xmlDataType="string"/>
    </xmlCellPr>
  </singleXmlCell>
  <singleXmlCell id="272" r="E21" connectionId="1">
    <xmlCellPr id="1" uniqueName="pecuariapastagem_bioma">
      <xmlPr mapId="13" xpath="/ns1:GHGPROTOCOL/PecuáriaPastagem/pecuariapastagem_bioma" xmlDataType="string"/>
    </xmlCellPr>
  </singleXmlCell>
  <singleXmlCell id="273" r="E25" connectionId="1">
    <xmlCellPr id="1" uniqueName="pecuariapastagem_classetexturalsolo">
      <xmlPr mapId="13" xpath="/ns1:GHGPROTOCOL/PecuáriaPastagem/pecuariapastagem_classetexturalsolo" xmlDataType="string"/>
    </xmlCellPr>
  </singleXmlCell>
  <singleXmlCell id="274" r="E26" connectionId="1">
    <xmlCellPr id="1" uniqueName="pecuariapastagem_teorargilasolo">
      <xmlPr mapId="13" xpath="/ns1:GHGPROTOCOL/PecuáriaPastagem/pecuariapastagem_teorargilasolo" xmlDataType="string"/>
    </xmlCellPr>
  </singleXmlCell>
  <singleXmlCell id="275" r="E27" connectionId="1">
    <xmlCellPr id="1" uniqueName="pecuariapastagem_usoanteriorterra">
      <xmlPr mapId="13" xpath="/ns1:GHGPROTOCOL/PecuáriaPastagem/pecuariapastagem_usoanteriorterra" xmlDataType="string"/>
    </xmlCellPr>
  </singleXmlCell>
  <singleXmlCell id="276" r="E28" connectionId="1">
    <xmlCellPr id="1" uniqueName="pecuariapastagem_situacaopastagem">
      <xmlPr mapId="13" xpath="/ns1:GHGPROTOCOL/PecuáriaPastagem/pecuariapastagem_situacaopastagem" xmlDataType="string"/>
    </xmlCellPr>
  </singleXmlCell>
  <singleXmlCell id="277" r="E29" connectionId="1">
    <xmlCellPr id="1" uniqueName="pecuariapastagem_temponasituacao">
      <xmlPr mapId="13" xpath="/ns1:GHGPROTOCOL/PecuáriaPastagem/pecuariapastagem_temponasituacao" xmlDataType="string"/>
    </xmlCellPr>
  </singleXmlCell>
  <singleXmlCell id="278" r="E30" connectionId="1">
    <xmlCellPr id="1" uniqueName="pecuariapastagem_cultivosoloorganico">
      <xmlPr mapId="13" xpath="/ns1:GHGPROTOCOL/PecuáriaPastagem/pecuariapastagem_cultivosoloorganico" xmlDataType="double"/>
    </xmlCellPr>
  </singleXmlCell>
  <singleXmlCell id="279" r="E31" connectionId="1">
    <xmlCellPr id="1" uniqueName="pecuariapastagem_areacultivada">
      <xmlPr mapId="13" xpath="/ns1:GHGPROTOCOL/PecuáriaPastagem/pecuariapastagem_areacultivada" xmlDataType="double"/>
    </xmlCellPr>
  </singleXmlCell>
  <singleXmlCell id="280" r="E35" connectionId="1">
    <xmlCellPr id="1" uniqueName="pecuariapastagem_adubacaonitrogenadasintetica">
      <xmlPr mapId="13" xpath="/ns1:GHGPROTOCOL/PecuáriaPastagem/pecuariapastagem_adubacaonitrogenadasintetica" xmlDataType="double"/>
    </xmlCellPr>
  </singleXmlCell>
  <singleXmlCell id="281" r="E36" connectionId="1">
    <xmlCellPr id="1" uniqueName="pecuariapastagem_nadubosintetico">
      <xmlPr mapId="13" xpath="/ns1:GHGPROTOCOL/PecuáriaPastagem/pecuariapastagem_nadubosintetico" xmlDataType="double"/>
    </xmlCellPr>
  </singleXmlCell>
  <singleXmlCell id="282" r="E37" connectionId="1">
    <xmlCellPr id="1" uniqueName="pecuariapastagem_ureia">
      <xmlPr mapId="13" xpath="/ns1:GHGPROTOCOL/PecuáriaPastagem/pecuariapastagem_ureia" xmlDataType="double"/>
    </xmlCellPr>
  </singleXmlCell>
  <singleXmlCell id="283" r="E38" connectionId="1">
    <xmlCellPr id="1" uniqueName="pecuariapastagem_calcariocalcitico">
      <xmlPr mapId="13" xpath="/ns1:GHGPROTOCOL/PecuáriaPastagem/pecuariapastagem_calcariocalcitico" xmlDataType="double"/>
    </xmlCellPr>
  </singleXmlCell>
  <singleXmlCell id="284" r="E39" connectionId="1">
    <xmlCellPr id="1" uniqueName="pecuariapastagem_calcariodolomitico">
      <xmlPr mapId="13" xpath="/ns1:GHGPROTOCOL/PecuáriaPastagem/pecuariapastagem_calcariodolomitico" xmlDataType="double"/>
    </xmlCellPr>
  </singleXmlCell>
  <singleXmlCell id="287" r="E42" connectionId="1">
    <xmlCellPr id="1" uniqueName="pecuariapastagem_adubacaoorganicacompostoorganico">
      <xmlPr mapId="13" xpath="/ns1:GHGPROTOCOL/PecuáriaPastagem/pecuariapastagem_adubacaoorganicacompostoorganico" xmlDataType="double"/>
    </xmlCellPr>
  </singleXmlCell>
  <singleXmlCell id="288" r="E43" connectionId="1">
    <xmlCellPr id="1" uniqueName="pecuariapastagem_adubacaoorganicaestercogeral">
      <xmlPr mapId="13" xpath="/ns1:GHGPROTOCOL/PecuáriaPastagem/pecuariapastagem_adubacaoorganicaestercogeral" xmlDataType="double"/>
    </xmlCellPr>
  </singleXmlCell>
  <singleXmlCell id="289" r="E44" connectionId="1">
    <xmlCellPr id="1" uniqueName="pecuariapastagem_adubacaoorganicaestercoavicola">
      <xmlPr mapId="13" xpath="/ns1:GHGPROTOCOL/PecuáriaPastagem/pecuariapastagem_adubacaoorganicaestercoavicola" xmlDataType="double"/>
    </xmlCellPr>
  </singleXmlCell>
  <singleXmlCell id="290" r="E45" connectionId="1">
    <xmlCellPr id="1" uniqueName="pecuariapastagem_adubacaoorganicaoutros">
      <xmlPr mapId="13" xpath="/ns1:GHGPROTOCOL/PecuáriaPastagem/pecuariapastagem_adubacaoorganicaoutros" xmlDataType="double"/>
    </xmlCellPr>
  </singleXmlCell>
  <singleXmlCell id="291" r="E48" connectionId="1">
    <xmlCellPr id="1" uniqueName="pecuariapastagem_adubacaoverdegraminea">
      <xmlPr mapId="13" xpath="/ns1:GHGPROTOCOL/PecuáriaPastagem/pecuariapastagem_adubacaoverdegraminea" xmlDataType="double"/>
    </xmlCellPr>
  </singleXmlCell>
  <singleXmlCell id="292" r="E49" connectionId="1">
    <xmlCellPr id="1" uniqueName="pecuariapastagem_adubacaoverdeleguminosa">
      <xmlPr mapId="13" xpath="/ns1:GHGPROTOCOL/PecuáriaPastagem/pecuariapastagem_adubacaoverdeleguminosa" xmlDataType="double"/>
    </xmlCellPr>
  </singleXmlCell>
  <singleXmlCell id="293" r="E50" connectionId="1">
    <xmlCellPr id="1" uniqueName="pecuariapastagem_adubacaoverdeoutros">
      <xmlPr mapId="13" xpath="/ns1:GHGPROTOCOL/PecuáriaPastagem/pecuariapastagem_adubacaoverdeoutros" xmlDataType="double"/>
    </xmlCellPr>
  </singleXmlCell>
  <singleXmlCell id="294" r="E54" connectionId="1">
    <xmlCellPr id="1" uniqueName="pecuariapastagem_herbicida">
      <xmlPr mapId="13" xpath="/ns1:GHGPROTOCOL/PecuáriaPastagem/pecuariapastagem_herbicida" xmlDataType="double"/>
    </xmlCellPr>
  </singleXmlCell>
  <singleXmlCell id="295" r="E55" connectionId="1">
    <xmlCellPr id="1" uniqueName="pecuariapastagem_inseticida">
      <xmlPr mapId="13" xpath="/ns1:GHGPROTOCOL/PecuáriaPastagem/pecuariapastagem_inseticida" xmlDataType="double"/>
    </xmlCellPr>
  </singleXmlCell>
  <singleXmlCell id="296" r="E56" connectionId="1">
    <xmlCellPr id="1" uniqueName="pecuariapastagem_fungicida">
      <xmlPr mapId="13" xpath="/ns1:GHGPROTOCOL/PecuáriaPastagem/pecuariapastagem_fungicida" xmlDataType="double"/>
    </xmlCellPr>
  </singleXmlCell>
  <singleXmlCell id="297" r="E60" connectionId="1">
    <xmlCellPr id="1" uniqueName="pecuariapastagem_tipocombustivel">
      <xmlPr mapId="13" xpath="/ns1:GHGPROTOCOL/PecuáriaPastagem/pecuariapastagem_tipocombustivel" xmlDataType="string"/>
    </xmlCellPr>
  </singleXmlCell>
  <singleXmlCell id="298" r="E61" connectionId="1">
    <xmlCellPr id="1" uniqueName="pecuariapastagem_tipoconsumocombustivel">
      <xmlPr mapId="13" xpath="/ns1:GHGPROTOCOL/PecuáriaPastagem/pecuariapastagem_tipoconsumocombustivel" xmlDataType="string"/>
    </xmlCellPr>
  </singleXmlCell>
  <singleXmlCell id="299" r="E68" connectionId="1">
    <xmlCellPr id="1" uniqueName="pecuariapastagem_consumodiesel">
      <xmlPr mapId="13" xpath="/ns1:GHGPROTOCOL/PecuáriaPastagem/pecuariapastagem_consumodiesel" xmlDataType="double"/>
    </xmlCellPr>
  </singleXmlCell>
  <singleXmlCell id="300" r="D64" connectionId="1">
    <xmlCellPr id="1" uniqueName="pecuariapastagem_operacaomecanizada_calagem">
      <xmlPr mapId="13" xpath="/ns1:GHGPROTOCOL/PecuáriaPastagem/pecuariapastagem_operacaomecanizada_calagem" xmlDataType="string"/>
    </xmlCellPr>
  </singleXmlCell>
  <singleXmlCell id="301" r="D65" connectionId="1">
    <xmlCellPr id="1" uniqueName="pecuariapastagem_operacaomecanizada_adubacaocobertura">
      <xmlPr mapId="13" xpath="/ns1:GHGPROTOCOL/PecuáriaPastagem/pecuariapastagem_operacaomecanizada_adubacaocobertura" xmlDataType="string"/>
    </xmlCellPr>
  </singleXmlCell>
  <singleXmlCell id="302" r="E64" connectionId="1">
    <xmlCellPr id="1" uniqueName="pecuariapastagem_operacaomecanizada_calagem_repeticoes">
      <xmlPr mapId="13" xpath="/ns1:GHGPROTOCOL/PecuáriaPastagem/pecuariapastagem_operacaomecanizada_calagem_repeticoes" xmlDataType="double"/>
    </xmlCellPr>
  </singleXmlCell>
  <singleXmlCell id="303" r="E65" connectionId="1">
    <xmlCellPr id="1" uniqueName="pecuariapastagem_operacaomecanizada_adubacaocobertura_repeticoes">
      <xmlPr mapId="13" xpath="/ns1:GHGPROTOCOL/PecuáriaPastagem/pecuariapastagem_operacaomecanizada_adubacaocobertura_repeticoes" xmlDataType="double"/>
    </xmlCellPr>
  </singleXmlCell>
  <singleXmlCell id="304" r="B72" connectionId="1">
    <xmlCellPr id="1" uniqueName="pecuariapastagem_tipoanimalcriado1">
      <xmlPr mapId="13" xpath="/ns1:GHGPROTOCOL/PecuáriaPastagem/pecuariapastagem_tipoanimalcriado1" xmlDataType="string"/>
    </xmlCellPr>
  </singleXmlCell>
  <singleXmlCell id="305" r="B73" connectionId="1">
    <xmlCellPr id="1" uniqueName="pecuariapastagem_tipoanimalcriado2">
      <xmlPr mapId="13" xpath="/ns1:GHGPROTOCOL/PecuáriaPastagem/pecuariapastagem_tipoanimalcriado2" xmlDataType="string"/>
    </xmlCellPr>
  </singleXmlCell>
  <singleXmlCell id="306" r="B74" connectionId="1">
    <xmlCellPr id="1" uniqueName="pecuariapastagem_tipoanimalcriado3">
      <xmlPr mapId="13" xpath="/ns1:GHGPROTOCOL/PecuáriaPastagem/pecuariapastagem_tipoanimalcriado3" xmlDataType="string"/>
    </xmlCellPr>
  </singleXmlCell>
  <singleXmlCell id="307" r="B75" connectionId="1">
    <xmlCellPr id="1" uniqueName="pecuariapastagem_tipoanimalcriado4">
      <xmlPr mapId="13" xpath="/ns1:GHGPROTOCOL/PecuáriaPastagem/pecuariapastagem_tipoanimalcriado4" xmlDataType="string"/>
    </xmlCellPr>
  </singleXmlCell>
  <singleXmlCell id="308" r="B76" connectionId="1">
    <xmlCellPr id="1" uniqueName="pecuariapastagem_tipoanimalcriado5">
      <xmlPr mapId="13" xpath="/ns1:GHGPROTOCOL/PecuáriaPastagem/pecuariapastagem_tipoanimalcriado5" xmlDataType="string"/>
    </xmlCellPr>
  </singleXmlCell>
  <singleXmlCell id="309" r="B77" connectionId="1">
    <xmlCellPr id="1" uniqueName="pecuariapastagem_tipoanimalcriado6">
      <xmlPr mapId="13" xpath="/ns1:GHGPROTOCOL/PecuáriaPastagem/pecuariapastagem_tipoanimalcriado6" xmlDataType="string"/>
    </xmlCellPr>
  </singleXmlCell>
  <singleXmlCell id="310" r="B78" connectionId="1">
    <xmlCellPr id="1" uniqueName="pecuariapastagem_tipoanimalcriado7">
      <xmlPr mapId="13" xpath="/ns1:GHGPROTOCOL/PecuáriaPastagem/pecuariapastagem_tipoanimalcriado7" xmlDataType="string"/>
    </xmlCellPr>
  </singleXmlCell>
  <singleXmlCell id="311" r="B79" connectionId="1">
    <xmlCellPr id="1" uniqueName="pecuariapastagem_tipoanimalcriado8">
      <xmlPr mapId="13" xpath="/ns1:GHGPROTOCOL/PecuáriaPastagem/pecuariapastagem_tipoanimalcriado8" xmlDataType="string"/>
    </xmlCellPr>
  </singleXmlCell>
  <singleXmlCell id="312" r="B80" connectionId="1">
    <xmlCellPr id="1" uniqueName="pecuariapastagem_tipoanimalcriado9">
      <xmlPr mapId="13" xpath="/ns1:GHGPROTOCOL/PecuáriaPastagem/pecuariapastagem_tipoanimalcriado9" xmlDataType="string"/>
    </xmlCellPr>
  </singleXmlCell>
  <singleXmlCell id="313" r="B81" connectionId="1">
    <xmlCellPr id="1" uniqueName="pecuariapastagem_tipoanimalcriado10">
      <xmlPr mapId="13" xpath="/ns1:GHGPROTOCOL/PecuáriaPastagem/pecuariapastagem_tipoanimalcriado10" xmlDataType="string"/>
    </xmlCellPr>
  </singleXmlCell>
  <singleXmlCell id="314" r="B82" connectionId="1">
    <xmlCellPr id="1" uniqueName="pecuariapastagem_tipoanimalcriado11">
      <xmlPr mapId="13" xpath="/ns1:GHGPROTOCOL/PecuáriaPastagem/pecuariapastagem_tipoanimalcriado11" xmlDataType="string"/>
    </xmlCellPr>
  </singleXmlCell>
  <singleXmlCell id="315" r="B83" connectionId="1">
    <xmlCellPr id="1" uniqueName="pecuariapastagem_tipoanimalcriado12">
      <xmlPr mapId="13" xpath="/ns1:GHGPROTOCOL/PecuáriaPastagem/pecuariapastagem_tipoanimalcriado12" xmlDataType="string"/>
    </xmlCellPr>
  </singleXmlCell>
  <singleXmlCell id="316" r="B84" connectionId="1">
    <xmlCellPr id="1" uniqueName="pecuariapastagem_tipoanimalcriado13">
      <xmlPr mapId="13" xpath="/ns1:GHGPROTOCOL/PecuáriaPastagem/pecuariapastagem_tipoanimalcriado13" xmlDataType="string"/>
    </xmlCellPr>
  </singleXmlCell>
  <singleXmlCell id="317" r="B85" connectionId="1">
    <xmlCellPr id="1" uniqueName="pecuariapastagem_tipoanimalcriado14">
      <xmlPr mapId="13" xpath="/ns1:GHGPROTOCOL/PecuáriaPastagem/pecuariapastagem_tipoanimalcriado14" xmlDataType="string"/>
    </xmlCellPr>
  </singleXmlCell>
  <singleXmlCell id="318" r="B86" connectionId="1">
    <xmlCellPr id="1" uniqueName="pecuariapastagem_tipoanimalcriado15">
      <xmlPr mapId="13" xpath="/ns1:GHGPROTOCOL/PecuáriaPastagem/pecuariapastagem_tipoanimalcriado15" xmlDataType="string"/>
    </xmlCellPr>
  </singleXmlCell>
  <singleXmlCell id="319" r="B87" connectionId="1">
    <xmlCellPr id="1" uniqueName="pecuariapastagem_tipoanimalcriado16">
      <xmlPr mapId="13" xpath="/ns1:GHGPROTOCOL/PecuáriaPastagem/pecuariapastagem_tipoanimalcriado16" xmlDataType="string"/>
    </xmlCellPr>
  </singleXmlCell>
  <singleXmlCell id="320" r="B88" connectionId="1">
    <xmlCellPr id="1" uniqueName="pecuariapastagem_tipoanimalcriado17">
      <xmlPr mapId="13" xpath="/ns1:GHGPROTOCOL/PecuáriaPastagem/pecuariapastagem_tipoanimalcriado17" xmlDataType="string"/>
    </xmlCellPr>
  </singleXmlCell>
  <singleXmlCell id="321" r="B89" connectionId="1">
    <xmlCellPr id="1" uniqueName="pecuariapastagem_tipoanimalcriado18">
      <xmlPr mapId="13" xpath="/ns1:GHGPROTOCOL/PecuáriaPastagem/pecuariapastagem_tipoanimalcriado18" xmlDataType="string"/>
    </xmlCellPr>
  </singleXmlCell>
  <singleXmlCell id="322" r="B90" connectionId="1">
    <xmlCellPr id="1" uniqueName="pecuariapastagem_tipoanimalcriado19">
      <xmlPr mapId="13" xpath="/ns1:GHGPROTOCOL/PecuáriaPastagem/pecuariapastagem_tipoanimalcriado19" xmlDataType="string"/>
    </xmlCellPr>
  </singleXmlCell>
  <singleXmlCell id="323" r="B91" connectionId="1">
    <xmlCellPr id="1" uniqueName="pecuariapastagem_tipoanimalcriado20">
      <xmlPr mapId="13" xpath="/ns1:GHGPROTOCOL/PecuáriaPastagem/pecuariapastagem_tipoanimalcriado20" xmlDataType="string"/>
    </xmlCellPr>
  </singleXmlCell>
  <singleXmlCell id="324" r="C72" connectionId="1">
    <xmlCellPr id="1" uniqueName="pecuariapastagem_sexo1">
      <xmlPr mapId="13" xpath="/ns1:GHGPROTOCOL/PecuáriaPastagem/pecuariapastagem_sexo1" xmlDataType="string"/>
    </xmlCellPr>
  </singleXmlCell>
  <singleXmlCell id="325" r="C73" connectionId="1">
    <xmlCellPr id="1" uniqueName="pecuariapastagem_sexo2">
      <xmlPr mapId="13" xpath="/ns1:GHGPROTOCOL/PecuáriaPastagem/pecuariapastagem_sexo2" xmlDataType="string"/>
    </xmlCellPr>
  </singleXmlCell>
  <singleXmlCell id="326" r="C74" connectionId="1">
    <xmlCellPr id="1" uniqueName="pecuariapastagem_sexo3">
      <xmlPr mapId="13" xpath="/ns1:GHGPROTOCOL/PecuáriaPastagem/pecuariapastagem_sexo3" xmlDataType="string"/>
    </xmlCellPr>
  </singleXmlCell>
  <singleXmlCell id="327" r="C75" connectionId="1">
    <xmlCellPr id="1" uniqueName="pecuariapastagem_sexo4">
      <xmlPr mapId="13" xpath="/ns1:GHGPROTOCOL/PecuáriaPastagem/pecuariapastagem_sexo4" xmlDataType="string"/>
    </xmlCellPr>
  </singleXmlCell>
  <singleXmlCell id="328" r="C76" connectionId="1">
    <xmlCellPr id="1" uniqueName="pecuariapastagem_sexo5">
      <xmlPr mapId="13" xpath="/ns1:GHGPROTOCOL/PecuáriaPastagem/pecuariapastagem_sexo5" xmlDataType="string"/>
    </xmlCellPr>
  </singleXmlCell>
  <singleXmlCell id="329" r="C77" connectionId="1">
    <xmlCellPr id="1" uniqueName="pecuariapastagem_sexo6">
      <xmlPr mapId="13" xpath="/ns1:GHGPROTOCOL/PecuáriaPastagem/pecuariapastagem_sexo6" xmlDataType="string"/>
    </xmlCellPr>
  </singleXmlCell>
  <singleXmlCell id="330" r="C78" connectionId="1">
    <xmlCellPr id="1" uniqueName="pecuariapastagem_sexo7">
      <xmlPr mapId="13" xpath="/ns1:GHGPROTOCOL/PecuáriaPastagem/pecuariapastagem_sexo7" xmlDataType="string"/>
    </xmlCellPr>
  </singleXmlCell>
  <singleXmlCell id="331" r="C79" connectionId="1">
    <xmlCellPr id="1" uniqueName="pecuariapastagem_sexo8">
      <xmlPr mapId="13" xpath="/ns1:GHGPROTOCOL/PecuáriaPastagem/pecuariapastagem_sexo8" xmlDataType="string"/>
    </xmlCellPr>
  </singleXmlCell>
  <singleXmlCell id="332" r="C80" connectionId="1">
    <xmlCellPr id="1" uniqueName="pecuariapastagem_sexo9">
      <xmlPr mapId="13" xpath="/ns1:GHGPROTOCOL/PecuáriaPastagem/pecuariapastagem_sexo9" xmlDataType="string"/>
    </xmlCellPr>
  </singleXmlCell>
  <singleXmlCell id="333" r="C81" connectionId="1">
    <xmlCellPr id="1" uniqueName="pecuariapastagem_sexo10">
      <xmlPr mapId="13" xpath="/ns1:GHGPROTOCOL/PecuáriaPastagem/pecuariapastagem_sexo10" xmlDataType="string"/>
    </xmlCellPr>
  </singleXmlCell>
  <singleXmlCell id="334" r="C82" connectionId="1">
    <xmlCellPr id="1" uniqueName="pecuariapastagem_sexo11">
      <xmlPr mapId="13" xpath="/ns1:GHGPROTOCOL/PecuáriaPastagem/pecuariapastagem_sexo11" xmlDataType="string"/>
    </xmlCellPr>
  </singleXmlCell>
  <singleXmlCell id="335" r="C83" connectionId="1">
    <xmlCellPr id="1" uniqueName="pecuariapastagem_sexo12">
      <xmlPr mapId="13" xpath="/ns1:GHGPROTOCOL/PecuáriaPastagem/pecuariapastagem_sexo12" xmlDataType="string"/>
    </xmlCellPr>
  </singleXmlCell>
  <singleXmlCell id="336" r="C84" connectionId="1">
    <xmlCellPr id="1" uniqueName="pecuariapastagem_sexo13">
      <xmlPr mapId="13" xpath="/ns1:GHGPROTOCOL/PecuáriaPastagem/pecuariapastagem_sexo13" xmlDataType="string"/>
    </xmlCellPr>
  </singleXmlCell>
  <singleXmlCell id="337" r="C85" connectionId="1">
    <xmlCellPr id="1" uniqueName="pecuariapastagem_sexo14">
      <xmlPr mapId="13" xpath="/ns1:GHGPROTOCOL/PecuáriaPastagem/pecuariapastagem_sexo14" xmlDataType="string"/>
    </xmlCellPr>
  </singleXmlCell>
  <singleXmlCell id="338" r="C86" connectionId="1">
    <xmlCellPr id="1" uniqueName="pecuariapastagem_sexo15">
      <xmlPr mapId="13" xpath="/ns1:GHGPROTOCOL/PecuáriaPastagem/pecuariapastagem_sexo15" xmlDataType="string"/>
    </xmlCellPr>
  </singleXmlCell>
  <singleXmlCell id="339" r="C87" connectionId="1">
    <xmlCellPr id="1" uniqueName="pecuariapastagem_sexo16">
      <xmlPr mapId="13" xpath="/ns1:GHGPROTOCOL/PecuáriaPastagem/pecuariapastagem_sexo16" xmlDataType="string"/>
    </xmlCellPr>
  </singleXmlCell>
  <singleXmlCell id="340" r="C88" connectionId="1">
    <xmlCellPr id="1" uniqueName="pecuariapastagem_sexo17">
      <xmlPr mapId="13" xpath="/ns1:GHGPROTOCOL/PecuáriaPastagem/pecuariapastagem_sexo17" xmlDataType="string"/>
    </xmlCellPr>
  </singleXmlCell>
  <singleXmlCell id="341" r="C89" connectionId="1">
    <xmlCellPr id="1" uniqueName="pecuariapastagem_sexo18">
      <xmlPr mapId="13" xpath="/ns1:GHGPROTOCOL/PecuáriaPastagem/pecuariapastagem_sexo18" xmlDataType="string"/>
    </xmlCellPr>
  </singleXmlCell>
  <singleXmlCell id="342" r="C90" connectionId="1">
    <xmlCellPr id="1" uniqueName="pecuariapastagem_sexo19">
      <xmlPr mapId="13" xpath="/ns1:GHGPROTOCOL/PecuáriaPastagem/pecuariapastagem_sexo19" xmlDataType="string"/>
    </xmlCellPr>
  </singleXmlCell>
  <singleXmlCell id="343" r="C91" connectionId="1">
    <xmlCellPr id="1" uniqueName="pecuariapastagem_sexo20">
      <xmlPr mapId="13" xpath="/ns1:GHGPROTOCOL/PecuáriaPastagem/pecuariapastagem_sexo20" xmlDataType="string"/>
    </xmlCellPr>
  </singleXmlCell>
  <singleXmlCell id="344" r="D72" connectionId="1">
    <xmlCellPr id="1" uniqueName="pecuariapastagem_idadeanimal1">
      <xmlPr mapId="13" xpath="/ns1:GHGPROTOCOL/PecuáriaPastagem/pecuariapastagem_idadeanimal1" xmlDataType="string"/>
    </xmlCellPr>
  </singleXmlCell>
  <singleXmlCell id="345" r="D73" connectionId="1">
    <xmlCellPr id="1" uniqueName="pecuariapastagem_idadeanimal2">
      <xmlPr mapId="13" xpath="/ns1:GHGPROTOCOL/PecuáriaPastagem/pecuariapastagem_idadeanimal2" xmlDataType="string"/>
    </xmlCellPr>
  </singleXmlCell>
  <singleXmlCell id="346" r="D74" connectionId="1">
    <xmlCellPr id="1" uniqueName="pecuariapastagem_idadeanimal3">
      <xmlPr mapId="13" xpath="/ns1:GHGPROTOCOL/PecuáriaPastagem/pecuariapastagem_idadeanimal3" xmlDataType="string"/>
    </xmlCellPr>
  </singleXmlCell>
  <singleXmlCell id="347" r="D75" connectionId="1">
    <xmlCellPr id="1" uniqueName="pecuariapastagem_idadeanimal4">
      <xmlPr mapId="13" xpath="/ns1:GHGPROTOCOL/PecuáriaPastagem/pecuariapastagem_idadeanimal4" xmlDataType="string"/>
    </xmlCellPr>
  </singleXmlCell>
  <singleXmlCell id="348" r="D76" connectionId="1">
    <xmlCellPr id="1" uniqueName="pecuariapastagem_idadeanimal5">
      <xmlPr mapId="13" xpath="/ns1:GHGPROTOCOL/PecuáriaPastagem/pecuariapastagem_idadeanimal5" xmlDataType="string"/>
    </xmlCellPr>
  </singleXmlCell>
  <singleXmlCell id="349" r="D77" connectionId="1">
    <xmlCellPr id="1" uniqueName="pecuariapastagem_idadeanimal6">
      <xmlPr mapId="13" xpath="/ns1:GHGPROTOCOL/PecuáriaPastagem/pecuariapastagem_idadeanimal6" xmlDataType="string"/>
    </xmlCellPr>
  </singleXmlCell>
  <singleXmlCell id="350" r="D78" connectionId="1">
    <xmlCellPr id="1" uniqueName="pecuariapastagem_idadeanimal7">
      <xmlPr mapId="13" xpath="/ns1:GHGPROTOCOL/PecuáriaPastagem/pecuariapastagem_idadeanimal7" xmlDataType="string"/>
    </xmlCellPr>
  </singleXmlCell>
  <singleXmlCell id="351" r="D79" connectionId="1">
    <xmlCellPr id="1" uniqueName="pecuariapastagem_idadeanimal8">
      <xmlPr mapId="13" xpath="/ns1:GHGPROTOCOL/PecuáriaPastagem/pecuariapastagem_idadeanimal8" xmlDataType="string"/>
    </xmlCellPr>
  </singleXmlCell>
  <singleXmlCell id="352" r="D80" connectionId="1">
    <xmlCellPr id="1" uniqueName="pecuariapastagem_idadeanimal9">
      <xmlPr mapId="13" xpath="/ns1:GHGPROTOCOL/PecuáriaPastagem/pecuariapastagem_idadeanimal9" xmlDataType="string"/>
    </xmlCellPr>
  </singleXmlCell>
  <singleXmlCell id="353" r="D81" connectionId="1">
    <xmlCellPr id="1" uniqueName="pecuariapastagem_idadeanimal10">
      <xmlPr mapId="13" xpath="/ns1:GHGPROTOCOL/PecuáriaPastagem/pecuariapastagem_idadeanimal10" xmlDataType="string"/>
    </xmlCellPr>
  </singleXmlCell>
  <singleXmlCell id="354" r="D82" connectionId="1">
    <xmlCellPr id="1" uniqueName="pecuariapastagem_idadeanimal11">
      <xmlPr mapId="13" xpath="/ns1:GHGPROTOCOL/PecuáriaPastagem/pecuariapastagem_idadeanimal11" xmlDataType="string"/>
    </xmlCellPr>
  </singleXmlCell>
  <singleXmlCell id="355" r="D83" connectionId="1">
    <xmlCellPr id="1" uniqueName="pecuariapastagem_idadeanimal12">
      <xmlPr mapId="13" xpath="/ns1:GHGPROTOCOL/PecuáriaPastagem/pecuariapastagem_idadeanimal12" xmlDataType="string"/>
    </xmlCellPr>
  </singleXmlCell>
  <singleXmlCell id="356" r="D84" connectionId="1">
    <xmlCellPr id="1" uniqueName="pecuariapastagem_idadeanimal13">
      <xmlPr mapId="13" xpath="/ns1:GHGPROTOCOL/PecuáriaPastagem/pecuariapastagem_idadeanimal13" xmlDataType="string"/>
    </xmlCellPr>
  </singleXmlCell>
  <singleXmlCell id="357" r="D85" connectionId="1">
    <xmlCellPr id="1" uniqueName="pecuariapastagem_idadeanimal14">
      <xmlPr mapId="13" xpath="/ns1:GHGPROTOCOL/PecuáriaPastagem/pecuariapastagem_idadeanimal14" xmlDataType="string"/>
    </xmlCellPr>
  </singleXmlCell>
  <singleXmlCell id="358" r="D86" connectionId="1">
    <xmlCellPr id="1" uniqueName="pecuariapastagem_idadeanimal15">
      <xmlPr mapId="13" xpath="/ns1:GHGPROTOCOL/PecuáriaPastagem/pecuariapastagem_idadeanimal15" xmlDataType="string"/>
    </xmlCellPr>
  </singleXmlCell>
  <singleXmlCell id="359" r="D87" connectionId="1">
    <xmlCellPr id="1" uniqueName="pecuariapastagem_idadeanimal16">
      <xmlPr mapId="13" xpath="/ns1:GHGPROTOCOL/PecuáriaPastagem/pecuariapastagem_idadeanimal16" xmlDataType="string"/>
    </xmlCellPr>
  </singleXmlCell>
  <singleXmlCell id="360" r="D88" connectionId="1">
    <xmlCellPr id="1" uniqueName="pecuariapastagem_idadeanimal17">
      <xmlPr mapId="13" xpath="/ns1:GHGPROTOCOL/PecuáriaPastagem/pecuariapastagem_idadeanimal17" xmlDataType="string"/>
    </xmlCellPr>
  </singleXmlCell>
  <singleXmlCell id="361" r="D89" connectionId="1">
    <xmlCellPr id="1" uniqueName="pecuariapastagem_idadeanimal18">
      <xmlPr mapId="13" xpath="/ns1:GHGPROTOCOL/PecuáriaPastagem/pecuariapastagem_idadeanimal18" xmlDataType="string"/>
    </xmlCellPr>
  </singleXmlCell>
  <singleXmlCell id="362" r="D90" connectionId="1">
    <xmlCellPr id="1" uniqueName="pecuariapastagem_idadeanimal19">
      <xmlPr mapId="13" xpath="/ns1:GHGPROTOCOL/PecuáriaPastagem/pecuariapastagem_idadeanimal19" xmlDataType="string"/>
    </xmlCellPr>
  </singleXmlCell>
  <singleXmlCell id="363" r="D91" connectionId="1">
    <xmlCellPr id="1" uniqueName="pecuariapastagem_idadeanimal20">
      <xmlPr mapId="13" xpath="/ns1:GHGPROTOCOL/PecuáriaPastagem/pecuariapastagem_idadeanimal20" xmlDataType="string"/>
    </xmlCellPr>
  </singleXmlCell>
  <singleXmlCell id="364" r="E72" connectionId="1">
    <xmlCellPr id="1" uniqueName="pecuariapastagem_numeroanimais1">
      <xmlPr mapId="13" xpath="/ns1:GHGPROTOCOL/PecuáriaPastagem/pecuariapastagem_numeroanimais1" xmlDataType="nonNegativeInteger"/>
    </xmlCellPr>
  </singleXmlCell>
  <singleXmlCell id="365" r="E73" connectionId="1">
    <xmlCellPr id="1" uniqueName="pecuariapastagem_numeroanimais2">
      <xmlPr mapId="13" xpath="/ns1:GHGPROTOCOL/PecuáriaPastagem/pecuariapastagem_numeroanimais2" xmlDataType="nonNegativeInteger"/>
    </xmlCellPr>
  </singleXmlCell>
  <singleXmlCell id="366" r="E74" connectionId="1">
    <xmlCellPr id="1" uniqueName="pecuariapastagem_numeroanimais3">
      <xmlPr mapId="13" xpath="/ns1:GHGPROTOCOL/PecuáriaPastagem/pecuariapastagem_numeroanimais3" xmlDataType="nonNegativeInteger"/>
    </xmlCellPr>
  </singleXmlCell>
  <singleXmlCell id="367" r="E75" connectionId="1">
    <xmlCellPr id="1" uniqueName="pecuariapastagem_numeroanimais4">
      <xmlPr mapId="13" xpath="/ns1:GHGPROTOCOL/PecuáriaPastagem/pecuariapastagem_numeroanimais4" xmlDataType="nonNegativeInteger"/>
    </xmlCellPr>
  </singleXmlCell>
  <singleXmlCell id="368" r="E76" connectionId="1">
    <xmlCellPr id="1" uniqueName="pecuariapastagem_numeroanimais5">
      <xmlPr mapId="13" xpath="/ns1:GHGPROTOCOL/PecuáriaPastagem/pecuariapastagem_numeroanimais5" xmlDataType="nonNegativeInteger"/>
    </xmlCellPr>
  </singleXmlCell>
  <singleXmlCell id="369" r="E77" connectionId="1">
    <xmlCellPr id="1" uniqueName="pecuariapastagem_numeroanimais6">
      <xmlPr mapId="13" xpath="/ns1:GHGPROTOCOL/PecuáriaPastagem/pecuariapastagem_numeroanimais6" xmlDataType="nonNegativeInteger"/>
    </xmlCellPr>
  </singleXmlCell>
  <singleXmlCell id="370" r="E78" connectionId="1">
    <xmlCellPr id="1" uniqueName="pecuariapastagem_numeroanimais7">
      <xmlPr mapId="13" xpath="/ns1:GHGPROTOCOL/PecuáriaPastagem/pecuariapastagem_numeroanimais7" xmlDataType="nonNegativeInteger"/>
    </xmlCellPr>
  </singleXmlCell>
  <singleXmlCell id="371" r="E79" connectionId="1">
    <xmlCellPr id="1" uniqueName="pecuariapastagem_numeroanimais8">
      <xmlPr mapId="13" xpath="/ns1:GHGPROTOCOL/PecuáriaPastagem/pecuariapastagem_numeroanimais8" xmlDataType="nonNegativeInteger"/>
    </xmlCellPr>
  </singleXmlCell>
  <singleXmlCell id="372" r="E80" connectionId="1">
    <xmlCellPr id="1" uniqueName="pecuariapastagem_numeroanimais9">
      <xmlPr mapId="13" xpath="/ns1:GHGPROTOCOL/PecuáriaPastagem/pecuariapastagem_numeroanimais9" xmlDataType="nonNegativeInteger"/>
    </xmlCellPr>
  </singleXmlCell>
  <singleXmlCell id="373" r="E81" connectionId="1">
    <xmlCellPr id="1" uniqueName="pecuariapastagem_numeroanimais10">
      <xmlPr mapId="13" xpath="/ns1:GHGPROTOCOL/PecuáriaPastagem/pecuariapastagem_numeroanimais10" xmlDataType="nonNegativeInteger"/>
    </xmlCellPr>
  </singleXmlCell>
  <singleXmlCell id="374" r="E82" connectionId="1">
    <xmlCellPr id="1" uniqueName="pecuariapastagem_numeroanimais11">
      <xmlPr mapId="13" xpath="/ns1:GHGPROTOCOL/PecuáriaPastagem/pecuariapastagem_numeroanimais11" xmlDataType="nonNegativeInteger"/>
    </xmlCellPr>
  </singleXmlCell>
  <singleXmlCell id="376" r="E83" connectionId="1">
    <xmlCellPr id="1" uniqueName="pecuariapastagem_numeroanimais12">
      <xmlPr mapId="13" xpath="/ns1:GHGPROTOCOL/PecuáriaPastagem/pecuariapastagem_numeroanimais12" xmlDataType="nonNegativeInteger"/>
    </xmlCellPr>
  </singleXmlCell>
  <singleXmlCell id="377" r="E84" connectionId="1">
    <xmlCellPr id="1" uniqueName="pecuariapastagem_numeroanimais13">
      <xmlPr mapId="13" xpath="/ns1:GHGPROTOCOL/PecuáriaPastagem/pecuariapastagem_numeroanimais13" xmlDataType="nonNegativeInteger"/>
    </xmlCellPr>
  </singleXmlCell>
  <singleXmlCell id="378" r="E85" connectionId="1">
    <xmlCellPr id="1" uniqueName="pecuariapastagem_numeroanimais14">
      <xmlPr mapId="13" xpath="/ns1:GHGPROTOCOL/PecuáriaPastagem/pecuariapastagem_numeroanimais14" xmlDataType="nonNegativeInteger"/>
    </xmlCellPr>
  </singleXmlCell>
  <singleXmlCell id="379" r="E86" connectionId="1">
    <xmlCellPr id="1" uniqueName="pecuariapastagem_numeroanimais15">
      <xmlPr mapId="13" xpath="/ns1:GHGPROTOCOL/PecuáriaPastagem/pecuariapastagem_numeroanimais15" xmlDataType="nonNegativeInteger"/>
    </xmlCellPr>
  </singleXmlCell>
  <singleXmlCell id="380" r="E87" connectionId="1">
    <xmlCellPr id="1" uniqueName="pecuariapastagem_numeroanimais16">
      <xmlPr mapId="13" xpath="/ns1:GHGPROTOCOL/PecuáriaPastagem/pecuariapastagem_numeroanimais16" xmlDataType="nonNegativeInteger"/>
    </xmlCellPr>
  </singleXmlCell>
  <singleXmlCell id="381" r="E88" connectionId="1">
    <xmlCellPr id="1" uniqueName="pecuariapastagem_numeroanimais17">
      <xmlPr mapId="13" xpath="/ns1:GHGPROTOCOL/PecuáriaPastagem/pecuariapastagem_numeroanimais17" xmlDataType="nonNegativeInteger"/>
    </xmlCellPr>
  </singleXmlCell>
  <singleXmlCell id="382" r="E89" connectionId="1">
    <xmlCellPr id="1" uniqueName="pecuariapastagem_numeroanimais18">
      <xmlPr mapId="13" xpath="/ns1:GHGPROTOCOL/PecuáriaPastagem/pecuariapastagem_numeroanimais18" xmlDataType="nonNegativeInteger"/>
    </xmlCellPr>
  </singleXmlCell>
  <singleXmlCell id="383" r="E90" connectionId="1">
    <xmlCellPr id="1" uniqueName="pecuariapastagem_numeroanimais19">
      <xmlPr mapId="13" xpath="/ns1:GHGPROTOCOL/PecuáriaPastagem/pecuariapastagem_numeroanimais19" xmlDataType="nonNegativeInteger"/>
    </xmlCellPr>
  </singleXmlCell>
  <singleXmlCell id="384" r="E91" connectionId="1">
    <xmlCellPr id="1" uniqueName="pecuariapastagem_numeroanimais20">
      <xmlPr mapId="13" xpath="/ns1:GHGPROTOCOL/PecuáriaPastagem/pecuariapastagem_numeroanimais20" xmlDataType="nonNegativeInteger"/>
    </xmlCellPr>
  </singleXmlCell>
  <singleXmlCell id="385" r="F72" connectionId="1">
    <xmlCellPr id="1" uniqueName="pecuariapastagem_manejodejetos1">
      <xmlPr mapId="13" xpath="/ns1:GHGPROTOCOL/PecuáriaPastagem/pecuariapastagem_manejodejetos1" xmlDataType="string"/>
    </xmlCellPr>
  </singleXmlCell>
  <singleXmlCell id="386" r="F73" connectionId="1">
    <xmlCellPr id="1" uniqueName="pecuariapastagem_manejodejetos2">
      <xmlPr mapId="13" xpath="/ns1:GHGPROTOCOL/PecuáriaPastagem/pecuariapastagem_manejodejetos2" xmlDataType="string"/>
    </xmlCellPr>
  </singleXmlCell>
  <singleXmlCell id="387" r="F74" connectionId="1">
    <xmlCellPr id="1" uniqueName="pecuariapastagem_manejodejetos3">
      <xmlPr mapId="13" xpath="/ns1:GHGPROTOCOL/PecuáriaPastagem/pecuariapastagem_manejodejetos3" xmlDataType="string"/>
    </xmlCellPr>
  </singleXmlCell>
  <singleXmlCell id="388" r="F75" connectionId="1">
    <xmlCellPr id="1" uniqueName="pecuariapastagem_manejodejetos4">
      <xmlPr mapId="13" xpath="/ns1:GHGPROTOCOL/PecuáriaPastagem/pecuariapastagem_manejodejetos4" xmlDataType="string"/>
    </xmlCellPr>
  </singleXmlCell>
  <singleXmlCell id="389" r="F76" connectionId="1">
    <xmlCellPr id="1" uniqueName="pecuariapastagem_manejodejetos5">
      <xmlPr mapId="13" xpath="/ns1:GHGPROTOCOL/PecuáriaPastagem/pecuariapastagem_manejodejetos5" xmlDataType="string"/>
    </xmlCellPr>
  </singleXmlCell>
  <singleXmlCell id="390" r="F77" connectionId="1">
    <xmlCellPr id="1" uniqueName="pecuariapastagem_manejodejetos6">
      <xmlPr mapId="13" xpath="/ns1:GHGPROTOCOL/PecuáriaPastagem/pecuariapastagem_manejodejetos6" xmlDataType="string"/>
    </xmlCellPr>
  </singleXmlCell>
  <singleXmlCell id="391" r="F78" connectionId="1">
    <xmlCellPr id="1" uniqueName="pecuariapastagem_manejodejetos7">
      <xmlPr mapId="13" xpath="/ns1:GHGPROTOCOL/PecuáriaPastagem/pecuariapastagem_manejodejetos7" xmlDataType="string"/>
    </xmlCellPr>
  </singleXmlCell>
  <singleXmlCell id="392" r="F79" connectionId="1">
    <xmlCellPr id="1" uniqueName="pecuariapastagem_manejodejetos8">
      <xmlPr mapId="13" xpath="/ns1:GHGPROTOCOL/PecuáriaPastagem/pecuariapastagem_manejodejetos8" xmlDataType="string"/>
    </xmlCellPr>
  </singleXmlCell>
  <singleXmlCell id="393" r="F80" connectionId="1">
    <xmlCellPr id="1" uniqueName="pecuariapastagem_manejodejetos9">
      <xmlPr mapId="13" xpath="/ns1:GHGPROTOCOL/PecuáriaPastagem/pecuariapastagem_manejodejetos9" xmlDataType="string"/>
    </xmlCellPr>
  </singleXmlCell>
  <singleXmlCell id="394" r="F81" connectionId="1">
    <xmlCellPr id="1" uniqueName="pecuariapastagem_manejodejetos10">
      <xmlPr mapId="13" xpath="/ns1:GHGPROTOCOL/PecuáriaPastagem/pecuariapastagem_manejodejetos10" xmlDataType="string"/>
    </xmlCellPr>
  </singleXmlCell>
  <singleXmlCell id="395" r="F82" connectionId="1">
    <xmlCellPr id="1" uniqueName="pecuariapastagem_manejodejetos11">
      <xmlPr mapId="13" xpath="/ns1:GHGPROTOCOL/PecuáriaPastagem/pecuariapastagem_manejodejetos11" xmlDataType="string"/>
    </xmlCellPr>
  </singleXmlCell>
  <singleXmlCell id="396" r="F83" connectionId="1">
    <xmlCellPr id="1" uniqueName="pecuariapastagem_manejodejetos12">
      <xmlPr mapId="13" xpath="/ns1:GHGPROTOCOL/PecuáriaPastagem/pecuariapastagem_manejodejetos12" xmlDataType="string"/>
    </xmlCellPr>
  </singleXmlCell>
  <singleXmlCell id="397" r="F84" connectionId="1">
    <xmlCellPr id="1" uniqueName="pecuariapastagem_manejodejetos13">
      <xmlPr mapId="13" xpath="/ns1:GHGPROTOCOL/PecuáriaPastagem/pecuariapastagem_manejodejetos13" xmlDataType="string"/>
    </xmlCellPr>
  </singleXmlCell>
  <singleXmlCell id="398" r="F85" connectionId="1">
    <xmlCellPr id="1" uniqueName="pecuariapastagem_manejodejetos14">
      <xmlPr mapId="13" xpath="/ns1:GHGPROTOCOL/PecuáriaPastagem/pecuariapastagem_manejodejetos14" xmlDataType="string"/>
    </xmlCellPr>
  </singleXmlCell>
  <singleXmlCell id="399" r="F86" connectionId="1">
    <xmlCellPr id="1" uniqueName="pecuariapastagem_manejodejetos15">
      <xmlPr mapId="13" xpath="/ns1:GHGPROTOCOL/PecuáriaPastagem/pecuariapastagem_manejodejetos15" xmlDataType="string"/>
    </xmlCellPr>
  </singleXmlCell>
  <singleXmlCell id="400" r="F87" connectionId="1">
    <xmlCellPr id="1" uniqueName="pecuariapastagem_manejodejetos16">
      <xmlPr mapId="13" xpath="/ns1:GHGPROTOCOL/PecuáriaPastagem/pecuariapastagem_manejodejetos16" xmlDataType="string"/>
    </xmlCellPr>
  </singleXmlCell>
  <singleXmlCell id="401" r="F88" connectionId="1">
    <xmlCellPr id="1" uniqueName="pecuariapastagem_manejodejetos17">
      <xmlPr mapId="13" xpath="/ns1:GHGPROTOCOL/PecuáriaPastagem/pecuariapastagem_manejodejetos17" xmlDataType="string"/>
    </xmlCellPr>
  </singleXmlCell>
  <singleXmlCell id="402" r="F89" connectionId="1">
    <xmlCellPr id="1" uniqueName="pecuariapastagem_manejodejetos18">
      <xmlPr mapId="13" xpath="/ns1:GHGPROTOCOL/PecuáriaPastagem/pecuariapastagem_manejodejetos18" xmlDataType="string"/>
    </xmlCellPr>
  </singleXmlCell>
  <singleXmlCell id="403" r="F90" connectionId="1">
    <xmlCellPr id="1" uniqueName="pecuariapastagem_manejodejetos19">
      <xmlPr mapId="13" xpath="/ns1:GHGPROTOCOL/PecuáriaPastagem/pecuariapastagem_manejodejetos19" xmlDataType="string"/>
    </xmlCellPr>
  </singleXmlCell>
  <singleXmlCell id="404" r="F91" connectionId="1">
    <xmlCellPr id="1" uniqueName="pecuariapastagem_manejodejetos20">
      <xmlPr mapId="13" xpath="/ns1:GHGPROTOCOL/PecuáriaPastagem/pecuariapastagem_manejodejetos20" xmlDataType="string"/>
    </xmlCellPr>
  </singleXmlCell>
  <singleXmlCell id="405" r="G72" connectionId="1">
    <xmlCellPr id="1" uniqueName="pecuariapastagem_dataentradaanimais1">
      <xmlPr mapId="13" xpath="/ns1:GHGPROTOCOL/PecuáriaPastagem/pecuariapastagem_dataentradaanimais1" xmlDataType="date"/>
    </xmlCellPr>
  </singleXmlCell>
  <singleXmlCell id="406" r="G73" connectionId="1">
    <xmlCellPr id="1" uniqueName="pecuariapastagem_dataentradaanimais2">
      <xmlPr mapId="13" xpath="/ns1:GHGPROTOCOL/PecuáriaPastagem/pecuariapastagem_dataentradaanimais2" xmlDataType="date"/>
    </xmlCellPr>
  </singleXmlCell>
  <singleXmlCell id="407" r="G74" connectionId="1">
    <xmlCellPr id="1" uniqueName="pecuariapastagem_dataentradaanimais3">
      <xmlPr mapId="13" xpath="/ns1:GHGPROTOCOL/PecuáriaPastagem/pecuariapastagem_dataentradaanimais3" xmlDataType="date"/>
    </xmlCellPr>
  </singleXmlCell>
  <singleXmlCell id="408" r="G75" connectionId="1">
    <xmlCellPr id="1" uniqueName="pecuariapastagem_dataentradaanimais4">
      <xmlPr mapId="13" xpath="/ns1:GHGPROTOCOL/PecuáriaPastagem/pecuariapastagem_dataentradaanimais4" xmlDataType="date"/>
    </xmlCellPr>
  </singleXmlCell>
  <singleXmlCell id="409" r="G76" connectionId="1">
    <xmlCellPr id="1" uniqueName="pecuariapastagem_dataentradaanimais5">
      <xmlPr mapId="13" xpath="/ns1:GHGPROTOCOL/PecuáriaPastagem/pecuariapastagem_dataentradaanimais5" xmlDataType="date"/>
    </xmlCellPr>
  </singleXmlCell>
  <singleXmlCell id="410" r="G77" connectionId="1">
    <xmlCellPr id="1" uniqueName="pecuariapastagem_dataentradaanimais6">
      <xmlPr mapId="13" xpath="/ns1:GHGPROTOCOL/PecuáriaPastagem/pecuariapastagem_dataentradaanimais6" xmlDataType="date"/>
    </xmlCellPr>
  </singleXmlCell>
  <singleXmlCell id="411" r="G78" connectionId="1">
    <xmlCellPr id="1" uniqueName="pecuariapastagem_dataentradaanimais7">
      <xmlPr mapId="13" xpath="/ns1:GHGPROTOCOL/PecuáriaPastagem/pecuariapastagem_dataentradaanimais7" xmlDataType="date"/>
    </xmlCellPr>
  </singleXmlCell>
  <singleXmlCell id="412" r="G79" connectionId="1">
    <xmlCellPr id="1" uniqueName="pecuariapastagem_dataentradaanimais8">
      <xmlPr mapId="13" xpath="/ns1:GHGPROTOCOL/PecuáriaPastagem/pecuariapastagem_dataentradaanimais8" xmlDataType="date"/>
    </xmlCellPr>
  </singleXmlCell>
  <singleXmlCell id="413" r="G80" connectionId="1">
    <xmlCellPr id="1" uniqueName="pecuariapastagem_dataentradaanimais9">
      <xmlPr mapId="13" xpath="/ns1:GHGPROTOCOL/PecuáriaPastagem/pecuariapastagem_dataentradaanimais9" xmlDataType="date"/>
    </xmlCellPr>
  </singleXmlCell>
  <singleXmlCell id="414" r="G81" connectionId="1">
    <xmlCellPr id="1" uniqueName="pecuariapastagem_dataentradaanimais10">
      <xmlPr mapId="13" xpath="/ns1:GHGPROTOCOL/PecuáriaPastagem/pecuariapastagem_dataentradaanimais10" xmlDataType="date"/>
    </xmlCellPr>
  </singleXmlCell>
  <singleXmlCell id="415" r="G82" connectionId="1">
    <xmlCellPr id="1" uniqueName="pecuariapastagem_dataentradaanimais11">
      <xmlPr mapId="13" xpath="/ns1:GHGPROTOCOL/PecuáriaPastagem/pecuariapastagem_dataentradaanimais11" xmlDataType="date"/>
    </xmlCellPr>
  </singleXmlCell>
  <singleXmlCell id="416" r="G83" connectionId="1">
    <xmlCellPr id="1" uniqueName="pecuariapastagem_dataentradaanimais12">
      <xmlPr mapId="13" xpath="/ns1:GHGPROTOCOL/PecuáriaPastagem/pecuariapastagem_dataentradaanimais12" xmlDataType="date"/>
    </xmlCellPr>
  </singleXmlCell>
  <singleXmlCell id="417" r="G84" connectionId="1">
    <xmlCellPr id="1" uniqueName="pecuariapastagem_dataentradaanimais13">
      <xmlPr mapId="13" xpath="/ns1:GHGPROTOCOL/PecuáriaPastagem/pecuariapastagem_dataentradaanimais13" xmlDataType="date"/>
    </xmlCellPr>
  </singleXmlCell>
  <singleXmlCell id="418" r="G85" connectionId="1">
    <xmlCellPr id="1" uniqueName="pecuariapastagem_dataentradaanimais14">
      <xmlPr mapId="13" xpath="/ns1:GHGPROTOCOL/PecuáriaPastagem/pecuariapastagem_dataentradaanimais14" xmlDataType="date"/>
    </xmlCellPr>
  </singleXmlCell>
  <singleXmlCell id="419" r="G86" connectionId="1">
    <xmlCellPr id="1" uniqueName="pecuariapastagem_dataentradaanimais15">
      <xmlPr mapId="13" xpath="/ns1:GHGPROTOCOL/PecuáriaPastagem/pecuariapastagem_dataentradaanimais15" xmlDataType="date"/>
    </xmlCellPr>
  </singleXmlCell>
  <singleXmlCell id="420" r="G87" connectionId="1">
    <xmlCellPr id="1" uniqueName="pecuariapastagem_dataentradaanimais16">
      <xmlPr mapId="13" xpath="/ns1:GHGPROTOCOL/PecuáriaPastagem/pecuariapastagem_dataentradaanimais16" xmlDataType="date"/>
    </xmlCellPr>
  </singleXmlCell>
  <singleXmlCell id="421" r="G88" connectionId="1">
    <xmlCellPr id="1" uniqueName="pecuariapastagem_dataentradaanimais17">
      <xmlPr mapId="13" xpath="/ns1:GHGPROTOCOL/PecuáriaPastagem/pecuariapastagem_dataentradaanimais17" xmlDataType="date"/>
    </xmlCellPr>
  </singleXmlCell>
  <singleXmlCell id="422" r="G89" connectionId="1">
    <xmlCellPr id="1" uniqueName="pecuariapastagem_dataentradaanimais18">
      <xmlPr mapId="13" xpath="/ns1:GHGPROTOCOL/PecuáriaPastagem/pecuariapastagem_dataentradaanimais18" xmlDataType="date"/>
    </xmlCellPr>
  </singleXmlCell>
  <singleXmlCell id="423" r="G90" connectionId="1">
    <xmlCellPr id="1" uniqueName="pecuariapastagem_dataentradaanimais19">
      <xmlPr mapId="13" xpath="/ns1:GHGPROTOCOL/PecuáriaPastagem/pecuariapastagem_dataentradaanimais19" xmlDataType="date"/>
    </xmlCellPr>
  </singleXmlCell>
  <singleXmlCell id="424" r="G91" connectionId="1">
    <xmlCellPr id="1" uniqueName="pecuariapastagem_dataentradaanimais20">
      <xmlPr mapId="13" xpath="/ns1:GHGPROTOCOL/PecuáriaPastagem/pecuariapastagem_dataentradaanimais20" xmlDataType="date"/>
    </xmlCellPr>
  </singleXmlCell>
  <singleXmlCell id="426" r="H72" connectionId="1">
    <xmlCellPr id="1" uniqueName="pecuariapastagem_datasaidaanimais1">
      <xmlPr mapId="13" xpath="/ns1:GHGPROTOCOL/PecuáriaPastagem/pecuariapastagem_datasaidaanimais1" xmlDataType="date"/>
    </xmlCellPr>
  </singleXmlCell>
  <singleXmlCell id="427" r="H73" connectionId="1">
    <xmlCellPr id="1" uniqueName="pecuariapastagem_datasaidaanimais2">
      <xmlPr mapId="13" xpath="/ns1:GHGPROTOCOL/PecuáriaPastagem/pecuariapastagem_datasaidaanimais2" xmlDataType="date"/>
    </xmlCellPr>
  </singleXmlCell>
  <singleXmlCell id="428" r="H74" connectionId="1">
    <xmlCellPr id="1" uniqueName="pecuariapastagem_datasaidaanimais3">
      <xmlPr mapId="13" xpath="/ns1:GHGPROTOCOL/PecuáriaPastagem/pecuariapastagem_datasaidaanimais3" xmlDataType="date"/>
    </xmlCellPr>
  </singleXmlCell>
  <singleXmlCell id="429" r="H75" connectionId="1">
    <xmlCellPr id="1" uniqueName="pecuariapastagem_datasaidaanimais4">
      <xmlPr mapId="13" xpath="/ns1:GHGPROTOCOL/PecuáriaPastagem/pecuariapastagem_datasaidaanimais4" xmlDataType="date"/>
    </xmlCellPr>
  </singleXmlCell>
  <singleXmlCell id="430" r="H76" connectionId="1">
    <xmlCellPr id="1" uniqueName="pecuariapastagem_datasaidaanimais5">
      <xmlPr mapId="13" xpath="/ns1:GHGPROTOCOL/PecuáriaPastagem/pecuariapastagem_datasaidaanimais5" xmlDataType="date"/>
    </xmlCellPr>
  </singleXmlCell>
  <singleXmlCell id="431" r="H77" connectionId="1">
    <xmlCellPr id="1" uniqueName="pecuariapastagem_datasaidaanimais6">
      <xmlPr mapId="13" xpath="/ns1:GHGPROTOCOL/PecuáriaPastagem/pecuariapastagem_datasaidaanimais6" xmlDataType="date"/>
    </xmlCellPr>
  </singleXmlCell>
  <singleXmlCell id="448" r="H78" connectionId="1">
    <xmlCellPr id="1" uniqueName="pecuariapastagem_datasaidaanimais7">
      <xmlPr mapId="13" xpath="/ns1:GHGPROTOCOL/PecuáriaPastagem/pecuariapastagem_datasaidaanimais7" xmlDataType="date"/>
    </xmlCellPr>
  </singleXmlCell>
  <singleXmlCell id="449" r="H79" connectionId="1">
    <xmlCellPr id="1" uniqueName="pecuariapastagem_datasaidaanimais8">
      <xmlPr mapId="13" xpath="/ns1:GHGPROTOCOL/PecuáriaPastagem/pecuariapastagem_datasaidaanimais8" xmlDataType="date"/>
    </xmlCellPr>
  </singleXmlCell>
  <singleXmlCell id="450" r="H80" connectionId="1">
    <xmlCellPr id="1" uniqueName="pecuariapastagem_datasaidaanimais9">
      <xmlPr mapId="13" xpath="/ns1:GHGPROTOCOL/PecuáriaPastagem/pecuariapastagem_datasaidaanimais9" xmlDataType="date"/>
    </xmlCellPr>
  </singleXmlCell>
  <singleXmlCell id="451" r="H81" connectionId="1">
    <xmlCellPr id="1" uniqueName="pecuariapastagem_datasaidaanimais10">
      <xmlPr mapId="13" xpath="/ns1:GHGPROTOCOL/PecuáriaPastagem/pecuariapastagem_datasaidaanimais10" xmlDataType="date"/>
    </xmlCellPr>
  </singleXmlCell>
  <singleXmlCell id="452" r="H82" connectionId="1">
    <xmlCellPr id="1" uniqueName="pecuariapastagem_datasaidaanimais11">
      <xmlPr mapId="13" xpath="/ns1:GHGPROTOCOL/PecuáriaPastagem/pecuariapastagem_datasaidaanimais11" xmlDataType="date"/>
    </xmlCellPr>
  </singleXmlCell>
  <singleXmlCell id="453" r="H83" connectionId="1">
    <xmlCellPr id="1" uniqueName="pecuariapastagem_datasaidaanimais12">
      <xmlPr mapId="13" xpath="/ns1:GHGPROTOCOL/PecuáriaPastagem/pecuariapastagem_datasaidaanimais12" xmlDataType="date"/>
    </xmlCellPr>
  </singleXmlCell>
  <singleXmlCell id="454" r="H84" connectionId="1">
    <xmlCellPr id="1" uniqueName="pecuariapastagem_datasaidaanimais13">
      <xmlPr mapId="13" xpath="/ns1:GHGPROTOCOL/PecuáriaPastagem/pecuariapastagem_datasaidaanimais13" xmlDataType="date"/>
    </xmlCellPr>
  </singleXmlCell>
  <singleXmlCell id="455" r="H85" connectionId="1">
    <xmlCellPr id="1" uniqueName="pecuariapastagem_datasaidaanimais14">
      <xmlPr mapId="13" xpath="/ns1:GHGPROTOCOL/PecuáriaPastagem/pecuariapastagem_datasaidaanimais14" xmlDataType="date"/>
    </xmlCellPr>
  </singleXmlCell>
  <singleXmlCell id="456" r="H86" connectionId="1">
    <xmlCellPr id="1" uniqueName="pecuariapastagem_datasaidaanimais15">
      <xmlPr mapId="13" xpath="/ns1:GHGPROTOCOL/PecuáriaPastagem/pecuariapastagem_datasaidaanimais15" xmlDataType="date"/>
    </xmlCellPr>
  </singleXmlCell>
  <singleXmlCell id="457" r="H87" connectionId="1">
    <xmlCellPr id="1" uniqueName="pecuariapastagem_datasaidaanimais16">
      <xmlPr mapId="13" xpath="/ns1:GHGPROTOCOL/PecuáriaPastagem/pecuariapastagem_datasaidaanimais16" xmlDataType="date"/>
    </xmlCellPr>
  </singleXmlCell>
  <singleXmlCell id="458" r="H88" connectionId="1">
    <xmlCellPr id="1" uniqueName="pecuariapastagem_datasaidaanimais17">
      <xmlPr mapId="13" xpath="/ns1:GHGPROTOCOL/PecuáriaPastagem/pecuariapastagem_datasaidaanimais17" xmlDataType="date"/>
    </xmlCellPr>
  </singleXmlCell>
  <singleXmlCell id="459" r="H89" connectionId="1">
    <xmlCellPr id="1" uniqueName="pecuariapastagem_datasaidaanimais18">
      <xmlPr mapId="13" xpath="/ns1:GHGPROTOCOL/PecuáriaPastagem/pecuariapastagem_datasaidaanimais18" xmlDataType="date"/>
    </xmlCellPr>
  </singleXmlCell>
  <singleXmlCell id="460" r="H90" connectionId="1">
    <xmlCellPr id="1" uniqueName="pecuariapastagem_datasaidaanimais19">
      <xmlPr mapId="13" xpath="/ns1:GHGPROTOCOL/PecuáriaPastagem/pecuariapastagem_datasaidaanimais19" xmlDataType="date"/>
    </xmlCellPr>
  </singleXmlCell>
  <singleXmlCell id="461" r="H91" connectionId="1">
    <xmlCellPr id="1" uniqueName="pecuariapastagem_datasaidaanimais20">
      <xmlPr mapId="13" xpath="/ns1:GHGPROTOCOL/PecuáriaPastagem/pecuariapastagem_datasaidaanimais20" xmlDataType="date"/>
    </xmlCellPr>
  </singleXmlCell>
</singleXmlCells>
</file>

<file path=xl/tables/tableSingleCells10.xml><?xml version="1.0" encoding="utf-8"?>
<singleXmlCells xmlns="http://schemas.openxmlformats.org/spreadsheetml/2006/main">
  <singleXmlCell id="4" r="E23" connectionId="1">
    <xmlCellPr id="1" uniqueName="compraenergia_consumototal">
      <xmlPr mapId="13" xpath="/ns1:GHGPROTOCOL/ConsumoEnergiaElétrica/compraenergia_consumototal" xmlDataType="double"/>
    </xmlCellPr>
  </singleXmlCell>
  <singleXmlCell id="5" r="E24" connectionId="1">
    <xmlCellPr id="1" uniqueName="compraenergia_anobase">
      <xmlPr mapId="13" xpath="/ns1:GHGPROTOCOL/ConsumoEnergiaElétrica/compraenergia_anobase" xmlDataType="integer"/>
    </xmlCellPr>
  </singleXmlCell>
</singleXmlCell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5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6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7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8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Inicio">
    <tabColor theme="5"/>
    <outlinePr summaryBelow="0"/>
  </sheetPr>
  <dimension ref="B6:S27"/>
  <sheetViews>
    <sheetView showGridLines="0" showRowColHeaders="0" zoomScaleNormal="100" workbookViewId="0"/>
  </sheetViews>
  <sheetFormatPr defaultColWidth="9.140625" defaultRowHeight="12.75"/>
  <cols>
    <col min="1" max="1" width="3.7109375" style="5" customWidth="1"/>
    <col min="2" max="2" width="19.28515625" style="5" bestFit="1" customWidth="1"/>
    <col min="3" max="6" width="9.140625" style="5" customWidth="1"/>
    <col min="7" max="7" width="1.7109375" style="5" customWidth="1"/>
    <col min="8" max="16384" width="9.140625" style="5"/>
  </cols>
  <sheetData>
    <row r="6" spans="2:19">
      <c r="L6" s="18"/>
    </row>
    <row r="7" spans="2:19">
      <c r="L7" s="18"/>
      <c r="Q7" s="18"/>
      <c r="R7" s="18"/>
      <c r="S7" s="18"/>
    </row>
    <row r="8" spans="2:19">
      <c r="L8" s="19"/>
      <c r="Q8" s="18"/>
      <c r="R8" s="18"/>
      <c r="S8" s="18"/>
    </row>
    <row r="9" spans="2:19">
      <c r="L9" s="19"/>
      <c r="M9" s="19"/>
      <c r="N9" s="19"/>
      <c r="O9" s="19"/>
      <c r="P9" s="19"/>
      <c r="Q9" s="19"/>
      <c r="R9" s="19"/>
      <c r="S9" s="19"/>
    </row>
    <row r="10" spans="2:19">
      <c r="L10" s="19"/>
      <c r="M10" s="19"/>
      <c r="N10" s="19"/>
      <c r="O10" s="19"/>
      <c r="P10" s="19"/>
      <c r="Q10" s="19"/>
      <c r="R10" s="19"/>
      <c r="S10" s="19"/>
    </row>
    <row r="11" spans="2:19">
      <c r="L11" s="19"/>
      <c r="M11" s="19"/>
      <c r="N11" s="19"/>
      <c r="O11" s="19"/>
      <c r="P11" s="19"/>
      <c r="Q11" s="19"/>
      <c r="R11" s="19"/>
      <c r="S11" s="19"/>
    </row>
    <row r="12" spans="2:19">
      <c r="L12" s="19"/>
      <c r="M12" s="19"/>
      <c r="N12" s="19"/>
      <c r="O12" s="19"/>
      <c r="P12" s="19"/>
      <c r="Q12" s="19"/>
      <c r="R12" s="19"/>
      <c r="S12" s="19"/>
    </row>
    <row r="14" spans="2:19">
      <c r="B14" s="342" t="s">
        <v>547</v>
      </c>
      <c r="C14" s="342"/>
      <c r="D14" s="342"/>
      <c r="E14" s="342"/>
      <c r="F14" s="342"/>
    </row>
    <row r="15" spans="2:19">
      <c r="B15" s="230" t="s">
        <v>1</v>
      </c>
      <c r="C15" s="341"/>
      <c r="D15" s="341"/>
      <c r="E15" s="341"/>
      <c r="F15" s="341"/>
    </row>
    <row r="16" spans="2:19">
      <c r="B16" s="230" t="s">
        <v>0</v>
      </c>
      <c r="C16" s="341"/>
      <c r="D16" s="341"/>
      <c r="E16" s="341"/>
      <c r="F16" s="341"/>
    </row>
    <row r="17" spans="2:13">
      <c r="C17" s="231"/>
      <c r="I17" s="205"/>
      <c r="J17" s="205"/>
      <c r="L17" s="205"/>
      <c r="M17" s="205"/>
    </row>
    <row r="18" spans="2:13">
      <c r="B18" s="230" t="s">
        <v>2</v>
      </c>
      <c r="C18" s="341"/>
      <c r="D18" s="341"/>
      <c r="E18" s="341"/>
      <c r="F18" s="341"/>
    </row>
    <row r="19" spans="2:13">
      <c r="B19" s="230" t="s">
        <v>45</v>
      </c>
      <c r="C19" s="341"/>
      <c r="D19" s="341"/>
      <c r="E19" s="341"/>
      <c r="F19" s="341"/>
    </row>
    <row r="20" spans="2:13">
      <c r="B20" s="230" t="s">
        <v>457</v>
      </c>
      <c r="C20" s="340"/>
      <c r="D20" s="340"/>
      <c r="E20" s="340"/>
      <c r="F20" s="340"/>
    </row>
    <row r="21" spans="2:13">
      <c r="B21" s="230" t="s">
        <v>482</v>
      </c>
      <c r="C21" s="341"/>
      <c r="D21" s="341"/>
      <c r="E21" s="341"/>
      <c r="F21" s="341"/>
    </row>
    <row r="23" spans="2:13">
      <c r="B23" s="17" t="s">
        <v>550</v>
      </c>
    </row>
    <row r="24" spans="2:13">
      <c r="B24" s="339" t="s">
        <v>551</v>
      </c>
      <c r="C24" s="339"/>
      <c r="D24" s="339"/>
      <c r="E24" s="339"/>
      <c r="F24" s="339"/>
      <c r="G24" s="339"/>
      <c r="H24" s="339"/>
      <c r="I24" s="339"/>
      <c r="J24" s="206"/>
      <c r="K24" s="206"/>
      <c r="L24" s="206"/>
    </row>
    <row r="27" spans="2:13">
      <c r="B27" s="205"/>
    </row>
  </sheetData>
  <sheetProtection sheet="1" objects="1" scenarios="1"/>
  <dataConsolidate topLabels="1">
    <dataRefs count="1">
      <dataRef ref="D26:D48" sheet="Início"/>
    </dataRefs>
  </dataConsolidate>
  <mergeCells count="8">
    <mergeCell ref="B24:I24"/>
    <mergeCell ref="C20:F20"/>
    <mergeCell ref="C21:F21"/>
    <mergeCell ref="B14:F14"/>
    <mergeCell ref="C15:F15"/>
    <mergeCell ref="C16:F16"/>
    <mergeCell ref="C18:F18"/>
    <mergeCell ref="C19:F19"/>
  </mergeCells>
  <dataValidations count="2">
    <dataValidation type="date" operator="greaterThan" allowBlank="1" showInputMessage="1" showErrorMessage="1" errorTitle="Erro" error="Data inválida!" promptTitle="Exemplo" prompt="01/01/2010" sqref="C20">
      <formula1>1</formula1>
    </dataValidation>
    <dataValidation allowBlank="1" showInputMessage="1" showErrorMessage="1" errorTitle="Erro" promptTitle="Exemplo" prompt="2010-2011" sqref="C21:F21"/>
  </dataValidations>
  <pageMargins left="0.511811024" right="0.511811024" top="0.78740157499999996" bottom="0.78740157499999996" header="0.31496062000000002" footer="0.31496062000000002"/>
  <pageSetup paperSize="9" orientation="portrait" r:id="rId1"/>
  <colBreaks count="1" manualBreakCount="1">
    <brk id="2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Introducao">
    <tabColor theme="5"/>
  </sheetPr>
  <dimension ref="B14:G83"/>
  <sheetViews>
    <sheetView showGridLines="0" showRowColHeaders="0" tabSelected="1" workbookViewId="0"/>
  </sheetViews>
  <sheetFormatPr defaultRowHeight="12.75"/>
  <cols>
    <col min="1" max="1" width="3.7109375" style="207" customWidth="1"/>
    <col min="2" max="2" width="2.7109375" style="207" customWidth="1"/>
    <col min="3" max="3" width="4.28515625" style="208" customWidth="1"/>
    <col min="4" max="4" width="119.140625" style="207" customWidth="1"/>
    <col min="5" max="6" width="9.140625" style="207"/>
    <col min="7" max="7" width="2.7109375" style="207" customWidth="1"/>
    <col min="8" max="16384" width="9.140625" style="207"/>
  </cols>
  <sheetData>
    <row r="14" spans="2:7" ht="4.5" customHeight="1"/>
    <row r="15" spans="2:7" ht="9.9499999999999993" customHeight="1">
      <c r="B15" s="209"/>
      <c r="C15" s="210"/>
      <c r="D15" s="211"/>
      <c r="E15" s="211"/>
      <c r="F15" s="211"/>
      <c r="G15" s="212"/>
    </row>
    <row r="16" spans="2:7" ht="20.100000000000001" customHeight="1">
      <c r="B16" s="213"/>
      <c r="C16" s="214" t="s">
        <v>181</v>
      </c>
      <c r="D16" s="215"/>
      <c r="E16" s="215"/>
      <c r="F16" s="215"/>
      <c r="G16" s="216"/>
    </row>
    <row r="17" spans="2:7" ht="9.9499999999999993" customHeight="1">
      <c r="B17" s="213"/>
      <c r="C17" s="217"/>
      <c r="D17" s="215"/>
      <c r="E17" s="215"/>
      <c r="F17" s="215"/>
      <c r="G17" s="216"/>
    </row>
    <row r="18" spans="2:7" ht="60" customHeight="1">
      <c r="B18" s="213"/>
      <c r="C18" s="346" t="s">
        <v>182</v>
      </c>
      <c r="D18" s="346"/>
      <c r="E18" s="346"/>
      <c r="F18" s="346"/>
      <c r="G18" s="216"/>
    </row>
    <row r="19" spans="2:7" ht="105" customHeight="1">
      <c r="B19" s="213"/>
      <c r="C19" s="346" t="s">
        <v>559</v>
      </c>
      <c r="D19" s="346"/>
      <c r="E19" s="346"/>
      <c r="F19" s="346"/>
      <c r="G19" s="216"/>
    </row>
    <row r="20" spans="2:7" ht="20.100000000000001" customHeight="1">
      <c r="B20" s="213"/>
      <c r="C20" s="346" t="s">
        <v>183</v>
      </c>
      <c r="D20" s="346"/>
      <c r="E20" s="346"/>
      <c r="F20" s="346"/>
      <c r="G20" s="216"/>
    </row>
    <row r="21" spans="2:7" ht="20.100000000000001" customHeight="1">
      <c r="B21" s="213"/>
      <c r="C21" s="217"/>
      <c r="D21" s="218" t="s">
        <v>184</v>
      </c>
      <c r="E21" s="219"/>
      <c r="F21" s="219"/>
      <c r="G21" s="216"/>
    </row>
    <row r="22" spans="2:7" ht="20.100000000000001" customHeight="1">
      <c r="B22" s="213"/>
      <c r="C22" s="217"/>
      <c r="D22" s="218" t="s">
        <v>185</v>
      </c>
      <c r="E22" s="219"/>
      <c r="F22" s="219"/>
      <c r="G22" s="216"/>
    </row>
    <row r="23" spans="2:7" ht="20.100000000000001" customHeight="1">
      <c r="B23" s="213"/>
      <c r="C23" s="217"/>
      <c r="D23" s="218" t="s">
        <v>186</v>
      </c>
      <c r="E23" s="219"/>
      <c r="F23" s="219"/>
      <c r="G23" s="216"/>
    </row>
    <row r="24" spans="2:7" ht="20.100000000000001" customHeight="1">
      <c r="B24" s="213"/>
      <c r="C24" s="217"/>
      <c r="D24" s="218" t="s">
        <v>187</v>
      </c>
      <c r="E24" s="219"/>
      <c r="F24" s="219"/>
      <c r="G24" s="216"/>
    </row>
    <row r="25" spans="2:7" ht="20.100000000000001" customHeight="1">
      <c r="B25" s="213"/>
      <c r="C25" s="217"/>
      <c r="D25" s="218" t="s">
        <v>188</v>
      </c>
      <c r="E25" s="219"/>
      <c r="F25" s="219"/>
      <c r="G25" s="216"/>
    </row>
    <row r="26" spans="2:7" ht="9.9499999999999993" customHeight="1">
      <c r="B26" s="220"/>
      <c r="C26" s="221"/>
      <c r="D26" s="222"/>
      <c r="E26" s="222"/>
      <c r="F26" s="222"/>
      <c r="G26" s="223"/>
    </row>
    <row r="27" spans="2:7" ht="15" customHeight="1"/>
    <row r="28" spans="2:7" ht="9.9499999999999993" customHeight="1">
      <c r="B28" s="209"/>
      <c r="C28" s="210"/>
      <c r="D28" s="211"/>
      <c r="E28" s="211"/>
      <c r="F28" s="211"/>
      <c r="G28" s="212"/>
    </row>
    <row r="29" spans="2:7" ht="20.100000000000001" customHeight="1">
      <c r="B29" s="213"/>
      <c r="C29" s="214" t="s">
        <v>189</v>
      </c>
      <c r="D29" s="215"/>
      <c r="E29" s="215"/>
      <c r="F29" s="215"/>
      <c r="G29" s="216"/>
    </row>
    <row r="30" spans="2:7" ht="9.9499999999999993" customHeight="1">
      <c r="B30" s="213"/>
      <c r="C30" s="217"/>
      <c r="D30" s="215"/>
      <c r="E30" s="215"/>
      <c r="F30" s="215"/>
      <c r="G30" s="216"/>
    </row>
    <row r="31" spans="2:7" ht="75" customHeight="1">
      <c r="B31" s="213"/>
      <c r="C31" s="346" t="s">
        <v>190</v>
      </c>
      <c r="D31" s="346"/>
      <c r="E31" s="346"/>
      <c r="F31" s="346"/>
      <c r="G31" s="216"/>
    </row>
    <row r="32" spans="2:7" ht="20.100000000000001" customHeight="1">
      <c r="B32" s="213"/>
      <c r="C32" s="215"/>
      <c r="D32" s="224" t="s">
        <v>191</v>
      </c>
      <c r="E32" s="215"/>
      <c r="F32" s="215"/>
      <c r="G32" s="216"/>
    </row>
    <row r="33" spans="2:7" ht="20.100000000000001" customHeight="1">
      <c r="B33" s="213"/>
      <c r="C33" s="215"/>
      <c r="D33" s="224" t="s">
        <v>192</v>
      </c>
      <c r="E33" s="215"/>
      <c r="F33" s="215"/>
      <c r="G33" s="216"/>
    </row>
    <row r="34" spans="2:7" ht="20.100000000000001" customHeight="1">
      <c r="B34" s="213"/>
      <c r="C34" s="215"/>
      <c r="D34" s="224" t="s">
        <v>193</v>
      </c>
      <c r="E34" s="215"/>
      <c r="F34" s="215"/>
      <c r="G34" s="216"/>
    </row>
    <row r="35" spans="2:7" ht="20.100000000000001" customHeight="1">
      <c r="B35" s="213"/>
      <c r="C35" s="215"/>
      <c r="D35" s="224" t="s">
        <v>194</v>
      </c>
      <c r="E35" s="215"/>
      <c r="F35" s="215"/>
      <c r="G35" s="216"/>
    </row>
    <row r="36" spans="2:7" ht="20.100000000000001" customHeight="1">
      <c r="B36" s="213"/>
      <c r="C36" s="215"/>
      <c r="D36" s="224" t="s">
        <v>195</v>
      </c>
      <c r="E36" s="215"/>
      <c r="F36" s="215"/>
      <c r="G36" s="216"/>
    </row>
    <row r="37" spans="2:7" ht="20.100000000000001" customHeight="1">
      <c r="B37" s="213"/>
      <c r="C37" s="215"/>
      <c r="D37" s="224" t="s">
        <v>196</v>
      </c>
      <c r="E37" s="215"/>
      <c r="F37" s="215"/>
      <c r="G37" s="216"/>
    </row>
    <row r="38" spans="2:7" ht="20.100000000000001" customHeight="1">
      <c r="B38" s="213"/>
      <c r="C38" s="215"/>
      <c r="D38" s="224" t="s">
        <v>197</v>
      </c>
      <c r="E38" s="215"/>
      <c r="F38" s="215"/>
      <c r="G38" s="216"/>
    </row>
    <row r="39" spans="2:7" ht="20.100000000000001" customHeight="1">
      <c r="B39" s="213"/>
      <c r="C39" s="215"/>
      <c r="D39" s="224" t="s">
        <v>198</v>
      </c>
      <c r="E39" s="215"/>
      <c r="F39" s="215"/>
      <c r="G39" s="216"/>
    </row>
    <row r="40" spans="2:7" ht="20.100000000000001" customHeight="1">
      <c r="B40" s="213"/>
      <c r="C40" s="215"/>
      <c r="D40" s="224" t="s">
        <v>199</v>
      </c>
      <c r="E40" s="215"/>
      <c r="F40" s="215"/>
      <c r="G40" s="216"/>
    </row>
    <row r="41" spans="2:7" ht="20.100000000000001" customHeight="1">
      <c r="B41" s="213"/>
      <c r="C41" s="215"/>
      <c r="D41" s="224" t="s">
        <v>200</v>
      </c>
      <c r="E41" s="215"/>
      <c r="F41" s="215"/>
      <c r="G41" s="216"/>
    </row>
    <row r="42" spans="2:7" ht="20.100000000000001" customHeight="1">
      <c r="B42" s="213"/>
      <c r="C42" s="215"/>
      <c r="D42" s="224" t="s">
        <v>201</v>
      </c>
      <c r="E42" s="215"/>
      <c r="F42" s="215"/>
      <c r="G42" s="216"/>
    </row>
    <row r="43" spans="2:7" ht="20.100000000000001" customHeight="1">
      <c r="B43" s="213"/>
      <c r="C43" s="215"/>
      <c r="D43" s="224" t="s">
        <v>202</v>
      </c>
      <c r="E43" s="215"/>
      <c r="F43" s="215"/>
      <c r="G43" s="216"/>
    </row>
    <row r="44" spans="2:7" ht="20.100000000000001" customHeight="1">
      <c r="B44" s="213"/>
      <c r="C44" s="215"/>
      <c r="D44" s="224" t="s">
        <v>203</v>
      </c>
      <c r="E44" s="215"/>
      <c r="F44" s="215"/>
      <c r="G44" s="216"/>
    </row>
    <row r="45" spans="2:7" ht="20.100000000000001" customHeight="1">
      <c r="B45" s="213"/>
      <c r="C45" s="215"/>
      <c r="D45" s="224" t="s">
        <v>204</v>
      </c>
      <c r="E45" s="215"/>
      <c r="F45" s="215"/>
      <c r="G45" s="216"/>
    </row>
    <row r="46" spans="2:7" ht="20.100000000000001" customHeight="1">
      <c r="B46" s="213"/>
      <c r="C46" s="215"/>
      <c r="D46" s="224" t="s">
        <v>205</v>
      </c>
      <c r="E46" s="215"/>
      <c r="F46" s="215"/>
      <c r="G46" s="216"/>
    </row>
    <row r="47" spans="2:7" ht="20.100000000000001" customHeight="1">
      <c r="B47" s="213"/>
      <c r="C47" s="215"/>
      <c r="D47" s="224" t="s">
        <v>206</v>
      </c>
      <c r="E47" s="215"/>
      <c r="F47" s="215"/>
      <c r="G47" s="216"/>
    </row>
    <row r="48" spans="2:7" ht="60" customHeight="1">
      <c r="B48" s="213"/>
      <c r="C48" s="346" t="s">
        <v>207</v>
      </c>
      <c r="D48" s="346"/>
      <c r="E48" s="346"/>
      <c r="F48" s="346"/>
      <c r="G48" s="216"/>
    </row>
    <row r="49" spans="2:7" ht="60" customHeight="1">
      <c r="B49" s="213"/>
      <c r="C49" s="346" t="s">
        <v>208</v>
      </c>
      <c r="D49" s="346"/>
      <c r="E49" s="346"/>
      <c r="F49" s="346"/>
      <c r="G49" s="216"/>
    </row>
    <row r="50" spans="2:7" ht="9.9499999999999993" customHeight="1">
      <c r="B50" s="220"/>
      <c r="C50" s="221"/>
      <c r="D50" s="222"/>
      <c r="E50" s="222"/>
      <c r="F50" s="222"/>
      <c r="G50" s="223"/>
    </row>
    <row r="51" spans="2:7" ht="15" customHeight="1"/>
    <row r="52" spans="2:7" ht="9.9499999999999993" customHeight="1">
      <c r="B52" s="209"/>
      <c r="C52" s="210"/>
      <c r="D52" s="211"/>
      <c r="E52" s="211"/>
      <c r="F52" s="211"/>
      <c r="G52" s="212"/>
    </row>
    <row r="53" spans="2:7">
      <c r="B53" s="213"/>
      <c r="C53" s="214" t="s">
        <v>209</v>
      </c>
      <c r="D53" s="215"/>
      <c r="E53" s="215"/>
      <c r="F53" s="215"/>
      <c r="G53" s="216"/>
    </row>
    <row r="54" spans="2:7" ht="9.9499999999999993" customHeight="1">
      <c r="B54" s="213"/>
      <c r="C54" s="217"/>
      <c r="D54" s="215"/>
      <c r="E54" s="215"/>
      <c r="F54" s="215"/>
      <c r="G54" s="216"/>
    </row>
    <row r="55" spans="2:7" ht="90" customHeight="1">
      <c r="B55" s="213"/>
      <c r="C55" s="346" t="s">
        <v>210</v>
      </c>
      <c r="D55" s="346"/>
      <c r="E55" s="346"/>
      <c r="F55" s="346"/>
      <c r="G55" s="216"/>
    </row>
    <row r="56" spans="2:7" ht="9.9499999999999993" customHeight="1">
      <c r="B56" s="213"/>
      <c r="C56" s="219"/>
      <c r="D56" s="219"/>
      <c r="E56" s="219"/>
      <c r="F56" s="219"/>
      <c r="G56" s="216"/>
    </row>
    <row r="57" spans="2:7" ht="19.5" customHeight="1">
      <c r="B57" s="213"/>
      <c r="C57" s="217"/>
      <c r="D57" s="347" t="s">
        <v>560</v>
      </c>
      <c r="E57" s="347"/>
      <c r="F57" s="347"/>
      <c r="G57" s="216"/>
    </row>
    <row r="58" spans="2:7" ht="9.9499999999999993" customHeight="1">
      <c r="B58" s="213"/>
      <c r="C58" s="219"/>
      <c r="D58" s="219"/>
      <c r="E58" s="219"/>
      <c r="F58" s="219"/>
      <c r="G58" s="216"/>
    </row>
    <row r="59" spans="2:7" ht="39.950000000000003" customHeight="1">
      <c r="B59" s="213"/>
      <c r="C59" s="217"/>
      <c r="D59" s="348" t="s">
        <v>561</v>
      </c>
      <c r="E59" s="349"/>
      <c r="F59" s="350"/>
      <c r="G59" s="216"/>
    </row>
    <row r="60" spans="2:7" ht="9.9499999999999993" customHeight="1">
      <c r="B60" s="213"/>
      <c r="C60" s="219"/>
      <c r="D60" s="219"/>
      <c r="E60" s="219"/>
      <c r="F60" s="219"/>
      <c r="G60" s="216"/>
    </row>
    <row r="61" spans="2:7" ht="45" customHeight="1">
      <c r="B61" s="213"/>
      <c r="C61" s="217"/>
      <c r="D61" s="351" t="s">
        <v>562</v>
      </c>
      <c r="E61" s="351"/>
      <c r="F61" s="351"/>
      <c r="G61" s="216"/>
    </row>
    <row r="62" spans="2:7" ht="9.9499999999999993" customHeight="1">
      <c r="B62" s="213"/>
      <c r="C62" s="219"/>
      <c r="D62" s="219"/>
      <c r="E62" s="219"/>
      <c r="F62" s="219"/>
      <c r="G62" s="216"/>
    </row>
    <row r="63" spans="2:7" ht="30" customHeight="1">
      <c r="B63" s="213"/>
      <c r="C63" s="346" t="s">
        <v>211</v>
      </c>
      <c r="D63" s="346"/>
      <c r="E63" s="346"/>
      <c r="F63" s="346"/>
      <c r="G63" s="216"/>
    </row>
    <row r="64" spans="2:7" ht="9.9499999999999993" customHeight="1">
      <c r="B64" s="213"/>
      <c r="C64" s="219"/>
      <c r="D64" s="219"/>
      <c r="E64" s="219"/>
      <c r="F64" s="219"/>
      <c r="G64" s="216"/>
    </row>
    <row r="65" spans="2:7" ht="90.75" customHeight="1">
      <c r="B65" s="213"/>
      <c r="C65" s="217"/>
      <c r="D65" s="343" t="s">
        <v>563</v>
      </c>
      <c r="E65" s="343"/>
      <c r="F65" s="343"/>
      <c r="G65" s="216"/>
    </row>
    <row r="66" spans="2:7" ht="9.9499999999999993" customHeight="1">
      <c r="B66" s="213"/>
      <c r="C66" s="219"/>
      <c r="D66" s="219"/>
      <c r="E66" s="219"/>
      <c r="F66" s="219"/>
      <c r="G66" s="216"/>
    </row>
    <row r="67" spans="2:7" ht="30" customHeight="1">
      <c r="B67" s="213"/>
      <c r="C67" s="217"/>
      <c r="D67" s="343" t="s">
        <v>564</v>
      </c>
      <c r="E67" s="343"/>
      <c r="F67" s="343"/>
      <c r="G67" s="216"/>
    </row>
    <row r="68" spans="2:7" ht="9.9499999999999993" customHeight="1">
      <c r="B68" s="213"/>
      <c r="C68" s="219"/>
      <c r="D68" s="219"/>
      <c r="E68" s="219"/>
      <c r="F68" s="219"/>
      <c r="G68" s="216"/>
    </row>
    <row r="69" spans="2:7" ht="15" customHeight="1">
      <c r="B69" s="213"/>
      <c r="C69" s="217"/>
      <c r="D69" s="344" t="s">
        <v>565</v>
      </c>
      <c r="E69" s="344"/>
      <c r="F69" s="344"/>
      <c r="G69" s="216"/>
    </row>
    <row r="70" spans="2:7" ht="33.75" customHeight="1">
      <c r="B70" s="213"/>
      <c r="C70" s="217"/>
      <c r="D70" s="225"/>
      <c r="E70" s="226"/>
      <c r="F70" s="227"/>
      <c r="G70" s="216"/>
    </row>
    <row r="71" spans="2:7" ht="9.9499999999999993" customHeight="1">
      <c r="B71" s="213"/>
      <c r="C71" s="219"/>
      <c r="D71" s="219"/>
      <c r="E71" s="219"/>
      <c r="F71" s="219"/>
      <c r="G71" s="216"/>
    </row>
    <row r="72" spans="2:7" ht="20.100000000000001" customHeight="1">
      <c r="B72" s="213"/>
      <c r="C72" s="217"/>
      <c r="D72" s="345" t="s">
        <v>566</v>
      </c>
      <c r="E72" s="345"/>
      <c r="F72" s="345"/>
      <c r="G72" s="216"/>
    </row>
    <row r="73" spans="2:7" ht="9.9499999999999993" customHeight="1">
      <c r="B73" s="220"/>
      <c r="C73" s="228"/>
      <c r="D73" s="228"/>
      <c r="E73" s="228"/>
      <c r="F73" s="228"/>
      <c r="G73" s="223"/>
    </row>
    <row r="75" spans="2:7">
      <c r="C75" s="217"/>
    </row>
    <row r="83" spans="4:4">
      <c r="D83" s="229"/>
    </row>
  </sheetData>
  <sheetProtection sheet="1" objects="1" scenarios="1"/>
  <mergeCells count="15">
    <mergeCell ref="C49:F49"/>
    <mergeCell ref="C18:F18"/>
    <mergeCell ref="C19:F19"/>
    <mergeCell ref="C20:F20"/>
    <mergeCell ref="C31:F31"/>
    <mergeCell ref="C48:F48"/>
    <mergeCell ref="D67:F67"/>
    <mergeCell ref="D69:F69"/>
    <mergeCell ref="D72:F72"/>
    <mergeCell ref="C55:F55"/>
    <mergeCell ref="D57:F57"/>
    <mergeCell ref="D59:F59"/>
    <mergeCell ref="D61:F61"/>
    <mergeCell ref="C63:F63"/>
    <mergeCell ref="D65:F6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Instrucoes">
    <tabColor theme="5"/>
  </sheetPr>
  <dimension ref="A15:U41"/>
  <sheetViews>
    <sheetView showGridLines="0" showRowColHeaders="0" zoomScaleNormal="100" workbookViewId="0"/>
  </sheetViews>
  <sheetFormatPr defaultRowHeight="12.75"/>
  <cols>
    <col min="1" max="1" width="3.7109375" style="5" customWidth="1"/>
    <col min="2" max="16384" width="9.140625" style="5"/>
  </cols>
  <sheetData>
    <row r="15" spans="1:21">
      <c r="A15" s="199"/>
      <c r="B15" s="352" t="s">
        <v>534</v>
      </c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3"/>
    </row>
    <row r="16" spans="1:21">
      <c r="B16" s="5" t="s">
        <v>536</v>
      </c>
    </row>
    <row r="17" spans="1:21">
      <c r="B17" s="5" t="s">
        <v>549</v>
      </c>
    </row>
    <row r="18" spans="1:21">
      <c r="B18" s="202" t="s">
        <v>552</v>
      </c>
    </row>
    <row r="19" spans="1:21">
      <c r="B19" s="202" t="s">
        <v>553</v>
      </c>
    </row>
    <row r="20" spans="1:21">
      <c r="B20" s="203" t="s">
        <v>567</v>
      </c>
    </row>
    <row r="21" spans="1:21">
      <c r="B21" s="204" t="s">
        <v>568</v>
      </c>
    </row>
    <row r="22" spans="1:21">
      <c r="B22" s="232" t="s">
        <v>537</v>
      </c>
    </row>
    <row r="23" spans="1:21">
      <c r="B23" s="232" t="s">
        <v>538</v>
      </c>
    </row>
    <row r="24" spans="1:21">
      <c r="B24" s="205" t="s">
        <v>554</v>
      </c>
    </row>
    <row r="26" spans="1:21">
      <c r="A26" s="199"/>
      <c r="B26" s="352" t="s">
        <v>539</v>
      </c>
      <c r="C26" s="352"/>
      <c r="D26" s="352"/>
      <c r="E26" s="352"/>
      <c r="F26" s="352"/>
      <c r="G26" s="352"/>
      <c r="H26" s="352"/>
      <c r="I26" s="352"/>
      <c r="J26" s="352"/>
      <c r="K26" s="352"/>
      <c r="L26" s="352"/>
      <c r="M26" s="352"/>
      <c r="N26" s="352"/>
      <c r="O26" s="352"/>
      <c r="P26" s="352"/>
      <c r="Q26" s="352"/>
      <c r="R26" s="352"/>
      <c r="S26" s="352"/>
      <c r="T26" s="352"/>
      <c r="U26" s="353"/>
    </row>
    <row r="27" spans="1:21">
      <c r="B27" s="5" t="s">
        <v>540</v>
      </c>
    </row>
    <row r="28" spans="1:21">
      <c r="B28" s="5" t="s">
        <v>555</v>
      </c>
    </row>
    <row r="29" spans="1:21">
      <c r="B29" s="5" t="s">
        <v>556</v>
      </c>
    </row>
    <row r="31" spans="1:21">
      <c r="A31" s="199"/>
      <c r="B31" s="352" t="s">
        <v>541</v>
      </c>
      <c r="C31" s="352"/>
      <c r="D31" s="352"/>
      <c r="E31" s="352"/>
      <c r="F31" s="352"/>
      <c r="G31" s="352"/>
      <c r="H31" s="352"/>
      <c r="I31" s="352"/>
      <c r="J31" s="352"/>
      <c r="K31" s="352"/>
      <c r="L31" s="352"/>
      <c r="M31" s="352"/>
      <c r="N31" s="352"/>
      <c r="O31" s="352"/>
      <c r="P31" s="352"/>
      <c r="Q31" s="352"/>
      <c r="R31" s="352"/>
      <c r="S31" s="352"/>
      <c r="T31" s="352"/>
      <c r="U31" s="353"/>
    </row>
    <row r="32" spans="1:21">
      <c r="B32" s="5" t="s">
        <v>558</v>
      </c>
    </row>
    <row r="33" spans="1:21">
      <c r="B33" s="5" t="s">
        <v>557</v>
      </c>
    </row>
    <row r="34" spans="1:21">
      <c r="B34" s="206" t="s">
        <v>586</v>
      </c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6"/>
      <c r="Q34" s="206"/>
      <c r="R34" s="20"/>
      <c r="S34" s="20"/>
    </row>
    <row r="35" spans="1:21">
      <c r="B35" s="205" t="s">
        <v>585</v>
      </c>
      <c r="C35" s="206"/>
      <c r="D35" s="206"/>
      <c r="E35" s="206"/>
      <c r="F35" s="206"/>
      <c r="G35" s="206"/>
      <c r="H35" s="206"/>
      <c r="I35" s="206"/>
      <c r="J35" s="206"/>
      <c r="K35" s="206"/>
      <c r="L35" s="206"/>
      <c r="M35" s="206"/>
      <c r="N35" s="206"/>
      <c r="O35" s="206"/>
      <c r="P35" s="206"/>
      <c r="Q35" s="206"/>
      <c r="R35" s="206"/>
      <c r="S35" s="206"/>
    </row>
    <row r="37" spans="1:21">
      <c r="A37" s="199"/>
      <c r="B37" s="352" t="s">
        <v>542</v>
      </c>
      <c r="C37" s="352"/>
      <c r="D37" s="352"/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3"/>
    </row>
    <row r="38" spans="1:21">
      <c r="B38" s="5" t="s">
        <v>546</v>
      </c>
    </row>
    <row r="39" spans="1:21">
      <c r="B39" s="5" t="s">
        <v>544</v>
      </c>
    </row>
    <row r="40" spans="1:21">
      <c r="B40" s="5" t="s">
        <v>545</v>
      </c>
    </row>
    <row r="41" spans="1:21">
      <c r="B41" s="5" t="s">
        <v>548</v>
      </c>
    </row>
  </sheetData>
  <sheetProtection sheet="1" objects="1" scenarios="1"/>
  <mergeCells count="4">
    <mergeCell ref="B15:U15"/>
    <mergeCell ref="B26:U26"/>
    <mergeCell ref="B31:U31"/>
    <mergeCell ref="B37:U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Sintese">
    <tabColor theme="5"/>
    <outlinePr summaryBelow="0"/>
  </sheetPr>
  <dimension ref="A14:S321"/>
  <sheetViews>
    <sheetView showGridLines="0" showRowColHeaders="0" zoomScaleNormal="100" workbookViewId="0"/>
  </sheetViews>
  <sheetFormatPr defaultColWidth="9.140625" defaultRowHeight="12.75" outlineLevelRow="1"/>
  <cols>
    <col min="1" max="1" width="3.7109375" style="44" customWidth="1"/>
    <col min="2" max="2" width="20.28515625" style="44" bestFit="1" customWidth="1"/>
    <col min="3" max="3" width="20.140625" style="44" bestFit="1" customWidth="1"/>
    <col min="4" max="4" width="30.85546875" style="44" bestFit="1" customWidth="1"/>
    <col min="5" max="5" width="34" style="44" bestFit="1" customWidth="1"/>
    <col min="6" max="8" width="15.7109375" style="44" customWidth="1"/>
    <col min="9" max="9" width="18" style="44" bestFit="1" customWidth="1"/>
    <col min="10" max="10" width="19.42578125" style="44" bestFit="1" customWidth="1"/>
    <col min="11" max="12" width="19.7109375" style="44" customWidth="1"/>
    <col min="13" max="13" width="18" style="44" bestFit="1" customWidth="1"/>
    <col min="14" max="16384" width="9.140625" style="44"/>
  </cols>
  <sheetData>
    <row r="14" spans="1:10">
      <c r="A14" s="3"/>
      <c r="B14" s="354" t="s">
        <v>254</v>
      </c>
      <c r="C14" s="354"/>
      <c r="D14" s="354"/>
      <c r="E14" s="354"/>
      <c r="F14" s="354"/>
      <c r="G14" s="354"/>
      <c r="H14" s="354"/>
      <c r="I14" s="354"/>
      <c r="J14" s="355"/>
    </row>
    <row r="15" spans="1:10">
      <c r="A15" s="1"/>
    </row>
    <row r="16" spans="1:10">
      <c r="A16" s="4"/>
      <c r="B16" s="356" t="s">
        <v>485</v>
      </c>
      <c r="C16" s="356"/>
      <c r="D16" s="356"/>
      <c r="E16" s="356"/>
      <c r="F16" s="356"/>
      <c r="G16" s="356"/>
      <c r="H16" s="356"/>
      <c r="I16" s="356"/>
      <c r="J16" s="356"/>
    </row>
    <row r="17" spans="1:19" ht="13.5" thickBot="1">
      <c r="A17" s="25"/>
      <c r="B17" s="1"/>
      <c r="C17" s="1"/>
      <c r="D17" s="1"/>
      <c r="E17" s="24"/>
      <c r="F17" s="24"/>
      <c r="G17" s="24"/>
      <c r="H17" s="24"/>
      <c r="I17" s="24"/>
      <c r="J17" s="24"/>
    </row>
    <row r="18" spans="1:19" ht="15.75">
      <c r="A18" s="25"/>
      <c r="B18" s="80"/>
      <c r="C18" s="362" t="s">
        <v>439</v>
      </c>
      <c r="D18" s="363"/>
      <c r="E18" s="364"/>
      <c r="F18" s="362" t="s">
        <v>317</v>
      </c>
      <c r="G18" s="363"/>
      <c r="H18" s="363"/>
      <c r="I18" s="364"/>
    </row>
    <row r="19" spans="1:19" ht="15.75">
      <c r="A19" s="1"/>
      <c r="B19" s="81" t="s">
        <v>167</v>
      </c>
      <c r="C19" s="82" t="s">
        <v>215</v>
      </c>
      <c r="D19" s="83" t="s">
        <v>217</v>
      </c>
      <c r="E19" s="84" t="s">
        <v>216</v>
      </c>
      <c r="F19" s="82" t="s">
        <v>215</v>
      </c>
      <c r="G19" s="83" t="s">
        <v>217</v>
      </c>
      <c r="H19" s="83" t="s">
        <v>216</v>
      </c>
      <c r="I19" s="85" t="s">
        <v>52</v>
      </c>
    </row>
    <row r="20" spans="1:19">
      <c r="A20" s="1"/>
      <c r="B20" s="86" t="s">
        <v>105</v>
      </c>
      <c r="C20" s="87">
        <f>IF(ISERROR(SUMIF(F58:F67,"&gt;=0")+SUMIF(F93:F102,"&gt;=0")+SUMIF(F128:F137,"&gt;=0")+SUMIF(F163:F172,"&gt;=0")+SUMIF(F231:F240,"&gt;=0")+SUMIF(F266:F275,"&gt;=0")+SUMIF(F198:F205,"&gt;=0")+SUMIF(F301:F311,"&gt;=0")),"-",SUMIF(F58:F67,"&gt;=0")+SUMIF(F93:F102,"&gt;=0")+SUMIF(F128:F137,"&gt;=0")+SUMIF(F163:F172,"&gt;=0")+SUMIF(F231:F240,"&gt;=0")+SUMIF(F266:F275,"&gt;=0")+SUMIF(F198:F205,"&gt;=0")+SUMIF(F301:F311,"&gt;=0"))</f>
        <v>0</v>
      </c>
      <c r="D20" s="88">
        <f>IF(ISERROR(SUMIF(G58:G67,"&gt;=0")+SUMIF(G93:G102,"&gt;=0")+SUMIF(G128:G137,"&gt;=0")+SUMIF(G163:G172,"&gt;=0")+SUMIF(G231:G240,"&gt;=0")+SUMIF(G266:G275,"&gt;=0")+SUMIF(G198:G205,"&gt;=0")+SUMIF(G301:G311,"&gt;=0")),"-",SUMIF(G58:G67,"&gt;=0")+SUMIF(G93:G102,"&gt;=0")+SUMIF(G128:G137,"&gt;=0")+SUMIF(G163:G172,"&gt;=0")+SUMIF(G231:G240,"&gt;=0")+SUMIF(G266:G275,"&gt;=0")+SUMIF(G198:G205,"&gt;=0")+SUMIF(G301:G311,"&gt;=0"))</f>
        <v>0</v>
      </c>
      <c r="E20" s="89">
        <f>IF(ISERROR(SUMIF(H58:H67,"&gt;=0")+SUMIF(H93:H102,"&gt;=0")+SUMIF(H128:H137,"&gt;=0")+SUMIF(H163:H172,"&gt;=0")+SUMIF(H231:H240,"&gt;=0")+SUMIF(H266:H275,"&gt;=0")+SUMIF(H198:H205,"&gt;=0")+SUMIF(H301:H311,"&gt;=0")),"-",SUMIF(H58:H67,"&gt;=0")+SUMIF(H93:H102,"&gt;=0")+SUMIF(H128:H137,"&gt;=0")+SUMIF(H163:H172,"&gt;=0")+SUMIF(H231:H240,"&gt;=0")+SUMIF(H266:H275,"&gt;=0")+SUMIF(H198:H205,"&gt;=0")+SUMIF(H301:H311,"&gt;=0"))</f>
        <v>0</v>
      </c>
      <c r="F20" s="90">
        <f>IF(ISERROR(C20*pag_co2),"-",C20*pag_co2)</f>
        <v>0</v>
      </c>
      <c r="G20" s="88">
        <f>IF(ISERROR(D20*pag_n2o),"-",D20*pag_n2o)</f>
        <v>0</v>
      </c>
      <c r="H20" s="88">
        <f>IF(ISERROR(E20*pag_ch4),"-",E20*pag_ch4)</f>
        <v>0</v>
      </c>
      <c r="I20" s="91">
        <f>IF(ISERROR(SUM(F20:H20)),"-",SUM(F20:H20))</f>
        <v>0</v>
      </c>
    </row>
    <row r="21" spans="1:19">
      <c r="A21" s="1"/>
      <c r="B21" s="92" t="s">
        <v>150</v>
      </c>
      <c r="C21" s="90">
        <f>IF(ISERROR(VLOOKUP(compraenergia_anobase,'Fatores de emissão'!B202:O210,14)*compraenergia_consumototal),0,VLOOKUP(compraenergia_anobase,'Fatores de emissão'!B202:O210,14)*compraenergia_consumototal)</f>
        <v>0</v>
      </c>
      <c r="D21" s="93"/>
      <c r="E21" s="94"/>
      <c r="F21" s="90">
        <f>IF(ISERROR(C21*pag_co2),"-",C21*pag_co2)</f>
        <v>0</v>
      </c>
      <c r="G21" s="93"/>
      <c r="H21" s="93"/>
      <c r="I21" s="91">
        <f>IF(ISERROR(SUM(F21:H21)),"-",SUM(F21:H21))</f>
        <v>0</v>
      </c>
    </row>
    <row r="22" spans="1:19">
      <c r="A22" s="1"/>
      <c r="B22" s="95" t="s">
        <v>151</v>
      </c>
      <c r="C22" s="90">
        <f>IF(ISERROR(IF(F68&lt;0,0,F68)+IF(F103&lt;0,0,F103)+IF(F138&lt;0,0,F138)+IF(F173&lt;0,0,F173)+IF(F241&lt;0,0,F241)+IF(F276&lt;0,0,F276)+IF(F206&lt;0,0,F206)+IF(F312&lt;0,0,F312)),"-",IF(F68&lt;0,0,F68)+IF(F103&lt;0,0,F103)+IF(F138&lt;0,0,F138)+IF(F173&lt;0,0,F173)+IF(F241&lt;0,0,F241)+IF(F276&lt;0,0,F276)+IF(F206&lt;0,0,F206)+IF(F312&lt;0,0,F312))</f>
        <v>0</v>
      </c>
      <c r="D22" s="93"/>
      <c r="E22" s="94"/>
      <c r="F22" s="90">
        <f>IF(ISERROR(C22*pag_co2),"-",C22*pag_co2)</f>
        <v>0</v>
      </c>
      <c r="G22" s="93"/>
      <c r="H22" s="93"/>
      <c r="I22" s="91">
        <f>IF(ISERROR(SUM(F22:H22)),"-",SUM(F22:H22))</f>
        <v>0</v>
      </c>
    </row>
    <row r="23" spans="1:19" ht="13.5" thickBot="1">
      <c r="A23" s="1"/>
      <c r="B23" s="96" t="s">
        <v>52</v>
      </c>
      <c r="C23" s="97">
        <f>IF(ISERROR(SUM(C20:C22)),"-",SUM(C20:C22))</f>
        <v>0</v>
      </c>
      <c r="D23" s="98">
        <f>IF(ISERROR(SUM(D20:D22)),"-",SUM(D20:D22))</f>
        <v>0</v>
      </c>
      <c r="E23" s="99">
        <f>IF(ISERROR(SUM(E20:E22)),"-",SUM(E20:E22))</f>
        <v>0</v>
      </c>
      <c r="F23" s="97">
        <f t="shared" ref="F23:H23" si="0">IF(ISERROR(SUM(F20:F22)),"-",SUM(F20:F22))</f>
        <v>0</v>
      </c>
      <c r="G23" s="98">
        <f>IF(ISERROR(SUM(G20:G22)),"-",SUM(G20:G22))</f>
        <v>0</v>
      </c>
      <c r="H23" s="98">
        <f t="shared" si="0"/>
        <v>0</v>
      </c>
      <c r="I23" s="99">
        <f>IF(ISERROR(SUM(F23:H23)),"-",SUM(F23:H23))</f>
        <v>0</v>
      </c>
    </row>
    <row r="24" spans="1:19">
      <c r="A24" s="1"/>
      <c r="B24" s="1"/>
      <c r="C24" s="1"/>
      <c r="D24" s="1"/>
      <c r="E24" s="1"/>
      <c r="F24" s="1"/>
      <c r="G24" s="1"/>
    </row>
    <row r="25" spans="1:19" ht="14.25">
      <c r="A25" s="4"/>
      <c r="B25" s="356" t="s">
        <v>383</v>
      </c>
      <c r="C25" s="356"/>
      <c r="D25" s="356"/>
      <c r="E25" s="356"/>
      <c r="F25" s="356"/>
      <c r="G25" s="356"/>
      <c r="H25" s="356"/>
      <c r="I25" s="356"/>
      <c r="J25" s="356"/>
    </row>
    <row r="26" spans="1:19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9">
      <c r="A27" s="1"/>
      <c r="B27" s="358" t="s">
        <v>170</v>
      </c>
      <c r="C27" s="359"/>
      <c r="D27" s="325">
        <f>IF(ISERROR(SUM(I69,I104,I139,I174,I242,I277,I207,I313)),"-",SUM(I69,I104,I139,I174,I242,I277,I207,I313))</f>
        <v>0</v>
      </c>
      <c r="E27" s="328"/>
      <c r="F27" s="328"/>
      <c r="G27" s="328"/>
      <c r="H27" s="328"/>
      <c r="I27" s="328"/>
      <c r="J27" s="329"/>
    </row>
    <row r="28" spans="1:19">
      <c r="A28" s="1"/>
      <c r="B28" s="330"/>
      <c r="C28" s="326"/>
      <c r="D28" s="326"/>
      <c r="E28" s="328"/>
      <c r="F28" s="331"/>
      <c r="G28" s="328"/>
      <c r="H28" s="328"/>
      <c r="I28" s="328"/>
      <c r="J28" s="329"/>
    </row>
    <row r="29" spans="1:19">
      <c r="A29" s="1"/>
      <c r="B29" s="358" t="s">
        <v>172</v>
      </c>
      <c r="C29" s="359"/>
      <c r="D29" s="325">
        <f>IF(ISERROR(SUM(I70,I105,I140,I175,I243,I278,I208,I314)),"-",SUM(I70,I105,I140,I175,I243,I278,I208,I314))</f>
        <v>0</v>
      </c>
      <c r="E29" s="328"/>
      <c r="F29" s="328"/>
      <c r="G29" s="328"/>
      <c r="H29" s="328"/>
      <c r="I29" s="328"/>
      <c r="J29" s="329"/>
      <c r="R29" s="1"/>
      <c r="S29" s="1"/>
    </row>
    <row r="30" spans="1:19">
      <c r="A30" s="1"/>
      <c r="B30" s="327"/>
      <c r="C30" s="327"/>
      <c r="D30" s="327"/>
      <c r="E30" s="328"/>
      <c r="F30" s="329"/>
      <c r="G30" s="328"/>
      <c r="H30" s="328"/>
      <c r="I30" s="328"/>
      <c r="J30" s="329"/>
      <c r="R30" s="1"/>
      <c r="S30" s="1"/>
    </row>
    <row r="31" spans="1:19">
      <c r="A31" s="1"/>
      <c r="B31" s="358" t="s">
        <v>171</v>
      </c>
      <c r="C31" s="359"/>
      <c r="D31" s="325">
        <f>IF(ISERROR(SUM(C52,C87,C122,C157,C225,C260,C192,C295)),"-",SUM(C52,C87,C122,C157,C225,C260,C192,C295))</f>
        <v>0</v>
      </c>
      <c r="E31" s="328"/>
      <c r="F31" s="328"/>
      <c r="G31" s="328"/>
      <c r="H31" s="328"/>
      <c r="I31" s="328"/>
      <c r="J31" s="329"/>
      <c r="R31" s="20"/>
    </row>
    <row r="32" spans="1:19">
      <c r="A32" s="1"/>
      <c r="B32" s="329"/>
      <c r="C32" s="329"/>
      <c r="D32" s="329"/>
      <c r="E32" s="328"/>
      <c r="F32" s="329"/>
      <c r="G32" s="328"/>
      <c r="H32" s="328"/>
      <c r="I32" s="328"/>
      <c r="J32" s="329"/>
      <c r="R32" s="20"/>
    </row>
    <row r="33" spans="1:18" ht="14.25">
      <c r="A33" s="4"/>
      <c r="B33" s="357" t="s">
        <v>527</v>
      </c>
      <c r="C33" s="357"/>
      <c r="D33" s="357"/>
      <c r="E33" s="357"/>
      <c r="F33" s="357"/>
      <c r="G33" s="357"/>
      <c r="H33" s="357"/>
      <c r="I33" s="357"/>
      <c r="J33" s="357"/>
    </row>
    <row r="34" spans="1:18">
      <c r="A34" s="1"/>
      <c r="B34" s="329"/>
      <c r="C34" s="329"/>
      <c r="D34" s="329"/>
      <c r="E34" s="329"/>
      <c r="F34" s="329"/>
      <c r="G34" s="329"/>
      <c r="H34" s="329"/>
      <c r="I34" s="329"/>
      <c r="J34" s="329"/>
      <c r="R34" s="20"/>
    </row>
    <row r="35" spans="1:18">
      <c r="A35" s="1"/>
      <c r="B35" s="360" t="s">
        <v>169</v>
      </c>
      <c r="C35" s="361"/>
      <c r="D35" s="324">
        <f>IF(ISERROR(SUM(I23,D27,D29,-D31)),"-",SUM(I23,D27,D29,-D31))</f>
        <v>0</v>
      </c>
      <c r="E35" s="328"/>
      <c r="F35" s="328"/>
      <c r="G35" s="329"/>
      <c r="H35" s="328"/>
      <c r="I35" s="329"/>
      <c r="J35" s="329"/>
      <c r="R35" s="20"/>
    </row>
    <row r="36" spans="1:18">
      <c r="A36" s="1"/>
      <c r="B36" s="329"/>
      <c r="C36" s="329"/>
      <c r="D36" s="329"/>
      <c r="E36" s="329"/>
      <c r="F36" s="329"/>
      <c r="G36" s="329"/>
      <c r="H36" s="329"/>
      <c r="I36" s="329"/>
      <c r="J36" s="329"/>
    </row>
    <row r="37" spans="1:18" ht="14.25">
      <c r="A37" s="6"/>
      <c r="B37" s="357" t="s">
        <v>528</v>
      </c>
      <c r="C37" s="357"/>
      <c r="D37" s="357"/>
      <c r="E37" s="357"/>
      <c r="F37" s="357"/>
      <c r="G37" s="357"/>
      <c r="H37" s="357"/>
      <c r="I37" s="357"/>
      <c r="J37" s="357"/>
      <c r="R37" s="20"/>
    </row>
    <row r="38" spans="1:18">
      <c r="B38" s="328"/>
      <c r="C38" s="328"/>
      <c r="D38" s="328"/>
      <c r="E38" s="328"/>
      <c r="F38" s="328"/>
      <c r="G38" s="328"/>
      <c r="H38" s="328"/>
      <c r="I38" s="328"/>
      <c r="J38" s="328"/>
    </row>
    <row r="39" spans="1:18">
      <c r="B39" s="365" t="s">
        <v>109</v>
      </c>
      <c r="C39" s="366"/>
      <c r="D39" s="332">
        <f>IF(ISERROR(SUM(D77,D112,D147,D182,D250,D285,D215)),"-",SUM(D77,D112,D147,D182,D250,D285,D215))</f>
        <v>0</v>
      </c>
      <c r="E39" s="328"/>
      <c r="F39" s="328"/>
      <c r="G39" s="328"/>
      <c r="H39" s="328"/>
      <c r="I39" s="328"/>
      <c r="J39" s="328"/>
    </row>
    <row r="40" spans="1:18">
      <c r="B40" s="333"/>
      <c r="C40" s="334"/>
      <c r="D40" s="334"/>
      <c r="E40" s="328"/>
      <c r="F40" s="328"/>
      <c r="G40" s="328"/>
      <c r="H40" s="328"/>
      <c r="I40" s="328"/>
      <c r="J40" s="328"/>
    </row>
    <row r="41" spans="1:18" ht="15.75" customHeight="1">
      <c r="B41" s="365" t="s">
        <v>253</v>
      </c>
      <c r="C41" s="366"/>
      <c r="D41" s="332">
        <f>IF(ISERROR(SUM(D78,D113,D148,D183,D251,D286,D216)),"-",SUM(D78,D113,D148,D183,D251,D286,D216))</f>
        <v>0</v>
      </c>
      <c r="E41" s="328"/>
      <c r="F41" s="328"/>
      <c r="G41" s="328"/>
      <c r="H41" s="328"/>
      <c r="I41" s="328"/>
      <c r="J41" s="328"/>
    </row>
    <row r="43" spans="1:18">
      <c r="A43" s="4"/>
      <c r="B43" s="356" t="s">
        <v>442</v>
      </c>
      <c r="C43" s="356"/>
      <c r="D43" s="356"/>
      <c r="E43" s="356"/>
      <c r="F43" s="356"/>
      <c r="G43" s="356"/>
      <c r="H43" s="356"/>
      <c r="I43" s="356"/>
      <c r="J43" s="356"/>
    </row>
    <row r="44" spans="1:18">
      <c r="A44" s="46"/>
      <c r="B44" s="46"/>
      <c r="C44" s="46"/>
      <c r="D44" s="46"/>
      <c r="E44" s="46"/>
      <c r="F44" s="46"/>
      <c r="G44" s="46"/>
      <c r="H44" s="46"/>
      <c r="I44" s="46"/>
      <c r="J44" s="46"/>
    </row>
    <row r="45" spans="1:18" s="77" customFormat="1" collapsed="1">
      <c r="A45" s="200"/>
      <c r="B45" s="392" t="s">
        <v>14</v>
      </c>
      <c r="C45" s="392"/>
      <c r="D45" s="392"/>
      <c r="E45" s="392"/>
      <c r="F45" s="392"/>
      <c r="G45" s="392"/>
      <c r="H45" s="392"/>
      <c r="I45" s="392"/>
      <c r="J45" s="393"/>
    </row>
    <row r="46" spans="1:18" hidden="1" outlineLevel="1">
      <c r="A46" s="43"/>
      <c r="F46" s="43"/>
      <c r="G46" s="43"/>
      <c r="H46" s="43"/>
      <c r="I46" s="43"/>
      <c r="J46" s="24"/>
    </row>
    <row r="47" spans="1:18" hidden="1" outlineLevel="1">
      <c r="A47" s="43"/>
      <c r="B47" s="379" t="s">
        <v>445</v>
      </c>
      <c r="C47" s="379"/>
      <c r="D47" s="379"/>
      <c r="E47" s="379"/>
      <c r="F47" s="43"/>
      <c r="G47" s="43"/>
      <c r="H47" s="43"/>
      <c r="I47" s="43"/>
      <c r="J47" s="43"/>
    </row>
    <row r="48" spans="1:18" ht="28.5" hidden="1" outlineLevel="1">
      <c r="A48" s="43"/>
      <c r="B48" s="101"/>
      <c r="C48" s="102" t="s">
        <v>386</v>
      </c>
      <c r="D48" s="102" t="s">
        <v>385</v>
      </c>
      <c r="E48" s="102" t="s">
        <v>423</v>
      </c>
      <c r="F48" s="43"/>
      <c r="G48" s="43"/>
      <c r="H48" s="43"/>
      <c r="I48" s="43"/>
      <c r="J48" s="43"/>
    </row>
    <row r="49" spans="1:18" hidden="1" outlineLevel="1">
      <c r="A49" s="43"/>
      <c r="B49" s="103" t="s">
        <v>105</v>
      </c>
      <c r="C49" s="104">
        <f>IF(ISERROR(SUM(I58:I67)),"-",SUM(I58:I67))</f>
        <v>0</v>
      </c>
      <c r="D49" s="104" t="str">
        <f>IF(ISERROR(C49/soja_areacultivada),"-",C49/soja_areacultivada)</f>
        <v>-</v>
      </c>
      <c r="E49" s="104" t="str">
        <f>IF(ISERROR(C49/(soja_areacultivada*soja_produtividademedia)),"-",C49/(soja_areacultivada*soja_produtividademedia))</f>
        <v>-</v>
      </c>
      <c r="F49" s="43"/>
      <c r="G49" s="43"/>
      <c r="H49" s="43"/>
      <c r="I49" s="43"/>
      <c r="J49" s="43"/>
    </row>
    <row r="50" spans="1:18" hidden="1" outlineLevel="1">
      <c r="A50" s="43"/>
      <c r="B50" s="105" t="s">
        <v>151</v>
      </c>
      <c r="C50" s="106">
        <f>IF(ISERROR(I68),"-",I68)</f>
        <v>0</v>
      </c>
      <c r="D50" s="106" t="str">
        <f>IF(ISERROR(C50/soja_areacultivada),"-",C50/soja_areacultivada)</f>
        <v>-</v>
      </c>
      <c r="E50" s="106" t="str">
        <f>IF(ISERROR(C50/(soja_areacultivada*soja_produtividademedia)),"-",C50/(soja_areacultivada*soja_produtividademedia))</f>
        <v>-</v>
      </c>
      <c r="F50" s="43"/>
      <c r="G50" s="43"/>
      <c r="H50" s="43"/>
      <c r="I50" s="43"/>
      <c r="J50" s="43"/>
    </row>
    <row r="51" spans="1:18" hidden="1" outlineLevel="1">
      <c r="A51" s="43"/>
      <c r="B51" s="107" t="s">
        <v>173</v>
      </c>
      <c r="C51" s="108">
        <f>IF(ISERROR(SUM(I69:I70)),"-",SUM(I69:I70))</f>
        <v>0</v>
      </c>
      <c r="D51" s="108" t="str">
        <f>IF(ISERROR(C51/soja_areacultivada),"-",C51/soja_areacultivada)</f>
        <v>-</v>
      </c>
      <c r="E51" s="108" t="str">
        <f>IF(ISERROR(C51/(soja_areacultivada*soja_produtividademedia)),"-",C51/(soja_areacultivada*soja_produtividademedia))</f>
        <v>-</v>
      </c>
      <c r="F51" s="43"/>
      <c r="G51" s="43"/>
      <c r="H51" s="43"/>
      <c r="I51" s="43"/>
      <c r="J51" s="43"/>
      <c r="Q51" s="24"/>
      <c r="R51" s="24"/>
    </row>
    <row r="52" spans="1:18" ht="15.75" hidden="1" outlineLevel="1">
      <c r="A52" s="43"/>
      <c r="B52" s="109" t="s">
        <v>422</v>
      </c>
      <c r="C52" s="110">
        <f>IF(ISERROR(J71),"-",J71)</f>
        <v>0</v>
      </c>
      <c r="D52" s="110" t="str">
        <f>IF(ISERROR(C52/soja_areacultivada),"-",C52/soja_areacultivada)</f>
        <v>-</v>
      </c>
      <c r="E52" s="110" t="str">
        <f>IF(ISERROR(C52/(soja_areacultivada*soja_produtividademedia)),"-",C52/(soja_areacultivada*soja_produtividademedia))</f>
        <v>-</v>
      </c>
      <c r="F52" s="43"/>
      <c r="G52" s="43"/>
      <c r="H52" s="43"/>
      <c r="I52" s="43"/>
      <c r="J52" s="43"/>
      <c r="Q52" s="24"/>
      <c r="R52" s="24"/>
    </row>
    <row r="53" spans="1:18" hidden="1" outlineLevel="1">
      <c r="A53" s="43"/>
      <c r="B53" s="111" t="s">
        <v>169</v>
      </c>
      <c r="C53" s="112">
        <f>IF(ISERROR(SUM(C49:C51)-C52),"-",SUM(C49:C51)-C52)</f>
        <v>0</v>
      </c>
      <c r="D53" s="112" t="str">
        <f>IF(ISERROR(C53/soja_areacultivada),"-",C53/soja_areacultivada)</f>
        <v>-</v>
      </c>
      <c r="E53" s="112" t="str">
        <f>IF(ISERROR(C53/(soja_areacultivada*soja_produtividademedia)),"-",C53/(soja_areacultivada*soja_produtividademedia))</f>
        <v>-</v>
      </c>
      <c r="F53" s="43"/>
      <c r="G53" s="43"/>
      <c r="H53" s="43"/>
      <c r="I53" s="43"/>
      <c r="J53" s="43"/>
      <c r="Q53" s="24"/>
      <c r="R53" s="24"/>
    </row>
    <row r="54" spans="1:18" hidden="1" outlineLevel="1">
      <c r="A54" s="43"/>
      <c r="B54" s="43"/>
      <c r="C54" s="43"/>
      <c r="D54" s="43"/>
      <c r="E54" s="43"/>
      <c r="F54" s="43"/>
      <c r="G54" s="43"/>
      <c r="H54" s="43"/>
      <c r="I54" s="43"/>
      <c r="J54" s="43"/>
      <c r="Q54" s="24"/>
      <c r="R54" s="24"/>
    </row>
    <row r="55" spans="1:18" ht="13.5" hidden="1" outlineLevel="1" thickBot="1">
      <c r="A55" s="43"/>
      <c r="B55" s="367" t="s">
        <v>446</v>
      </c>
      <c r="C55" s="367"/>
      <c r="D55" s="367"/>
      <c r="E55" s="367"/>
      <c r="F55" s="367"/>
      <c r="G55" s="367"/>
      <c r="H55" s="367"/>
      <c r="I55" s="367"/>
      <c r="J55" s="367"/>
      <c r="Q55" s="24"/>
      <c r="R55" s="24"/>
    </row>
    <row r="56" spans="1:18" hidden="1" outlineLevel="1">
      <c r="A56" s="43"/>
      <c r="B56" s="113"/>
      <c r="C56" s="114"/>
      <c r="D56" s="114"/>
      <c r="E56" s="114"/>
      <c r="F56" s="394" t="s">
        <v>108</v>
      </c>
      <c r="G56" s="395"/>
      <c r="H56" s="397"/>
      <c r="I56" s="385" t="s">
        <v>456</v>
      </c>
      <c r="J56" s="398" t="s">
        <v>444</v>
      </c>
      <c r="Q56" s="24"/>
      <c r="R56" s="24"/>
    </row>
    <row r="57" spans="1:18" ht="15.75" hidden="1" outlineLevel="1">
      <c r="A57" s="43"/>
      <c r="B57" s="389" t="s">
        <v>259</v>
      </c>
      <c r="C57" s="390"/>
      <c r="D57" s="391"/>
      <c r="E57" s="115" t="s">
        <v>232</v>
      </c>
      <c r="F57" s="116" t="s">
        <v>215</v>
      </c>
      <c r="G57" s="117" t="s">
        <v>217</v>
      </c>
      <c r="H57" s="118" t="s">
        <v>216</v>
      </c>
      <c r="I57" s="386"/>
      <c r="J57" s="399"/>
      <c r="Q57" s="24"/>
      <c r="R57" s="24"/>
    </row>
    <row r="58" spans="1:18" hidden="1" outlineLevel="1">
      <c r="A58" s="43"/>
      <c r="B58" s="373" t="s">
        <v>105</v>
      </c>
      <c r="C58" s="376" t="s">
        <v>168</v>
      </c>
      <c r="D58" s="119" t="s">
        <v>255</v>
      </c>
      <c r="E58" s="120" t="s">
        <v>225</v>
      </c>
      <c r="F58" s="121">
        <f>IF(ISERROR(c_co2_ureia*soja_aplicacaoureia),"-",c_co2_ureia*soja_aplicacaoureia)</f>
        <v>0</v>
      </c>
      <c r="G58" s="122">
        <f>IF(ISERROR(c_n2o_fertilizantesintetico*((soja_aplicacaoureia*45)/100)),"-",c_n2o_fertilizantesintetico*((soja_aplicacaoureia*45)/100))</f>
        <v>0</v>
      </c>
      <c r="H58" s="123"/>
      <c r="I58" s="121">
        <f t="shared" ref="I58:I70" si="1">IF(ISERROR(IF(F58&gt;=0,F58,0)+IF(G58*pag_n2o&gt;=0,G58*pag_n2o,0)+IF(H58*pag_ch4&gt;=0,H58*pag_ch4,0)),"-",IF(F58&gt;=0,F58,0)+IF(G58*pag_n2o&gt;=0,G58*pag_n2o,0)+IF(H58*pag_ch4&gt;=0,H58*pag_ch4,0))</f>
        <v>0</v>
      </c>
      <c r="J58" s="124"/>
      <c r="Q58" s="24"/>
      <c r="R58" s="24"/>
    </row>
    <row r="59" spans="1:18" hidden="1" outlineLevel="1">
      <c r="A59" s="43"/>
      <c r="B59" s="374"/>
      <c r="C59" s="377"/>
      <c r="D59" s="119" t="s">
        <v>6</v>
      </c>
      <c r="E59" s="120" t="s">
        <v>225</v>
      </c>
      <c r="F59" s="121">
        <f>IF(ISERROR((soja_calcariocalcitico*c_co2_calcariocalcitico)+(soja_calcariodolomitico*c_co2_calcariodolomitico)),"-",(soja_calcariocalcitico*c_co2_calcariocalcitico)+(soja_calcariodolomitico*c_co2_calcariodolomitico))</f>
        <v>0</v>
      </c>
      <c r="G59" s="125"/>
      <c r="H59" s="123"/>
      <c r="I59" s="121">
        <f t="shared" si="1"/>
        <v>0</v>
      </c>
      <c r="J59" s="124"/>
      <c r="Q59" s="24"/>
      <c r="R59" s="24"/>
    </row>
    <row r="60" spans="1:18" hidden="1" outlineLevel="1">
      <c r="A60" s="43"/>
      <c r="B60" s="374"/>
      <c r="C60" s="377"/>
      <c r="D60" s="119" t="s">
        <v>49</v>
      </c>
      <c r="E60" s="120" t="s">
        <v>243</v>
      </c>
      <c r="F60" s="126"/>
      <c r="G60" s="122">
        <f>IF(ISERROR(c_n2o_fertilizantesintetico*((soja_adubacaonitrogenadasintetica*soja_nadubosintetico)/100)),"-",c_n2o_fertilizantesintetico*((soja_adubacaonitrogenadasintetica*soja_nadubosintetico)/100))</f>
        <v>0</v>
      </c>
      <c r="H60" s="123"/>
      <c r="I60" s="121">
        <f t="shared" si="1"/>
        <v>0</v>
      </c>
      <c r="J60" s="124"/>
      <c r="Q60" s="24"/>
      <c r="R60" s="24"/>
    </row>
    <row r="61" spans="1:18" hidden="1" outlineLevel="1">
      <c r="A61" s="43"/>
      <c r="B61" s="374"/>
      <c r="C61" s="377"/>
      <c r="D61" s="119" t="s">
        <v>50</v>
      </c>
      <c r="E61" s="120" t="s">
        <v>225</v>
      </c>
      <c r="F61" s="126"/>
      <c r="G61" s="122">
        <f>IF(ISERROR((soja_adubacaoorganicacompostoorganico*c_n2o_compostoorganico)+(soja_adubacaoorganicaestercogeral*c_n2o_estercogeral)+(soja_adubacaoorganicaestercoavicola*c_n2o_estercoavicola)+(soja_adubacaoorganicaoutros*c_n2o_aduboorganicogeral)),"-",(soja_adubacaoorganicacompostoorganico*c_n2o_compostoorganico)+(soja_adubacaoorganicaestercogeral*c_n2o_estercogeral)+(soja_adubacaoorganicaestercoavicola*c_n2o_estercoavicola)+(soja_adubacaoorganicaoutros*c_n2o_aduboorganicogeral))</f>
        <v>0</v>
      </c>
      <c r="H61" s="123"/>
      <c r="I61" s="121">
        <f t="shared" si="1"/>
        <v>0</v>
      </c>
      <c r="J61" s="124"/>
      <c r="R61" s="24"/>
    </row>
    <row r="62" spans="1:18" hidden="1" outlineLevel="1">
      <c r="A62" s="43"/>
      <c r="B62" s="374"/>
      <c r="C62" s="377"/>
      <c r="D62" s="119" t="s">
        <v>258</v>
      </c>
      <c r="E62" s="120" t="s">
        <v>256</v>
      </c>
      <c r="F62" s="126"/>
      <c r="G62" s="122">
        <f>IF(ISERROR(((soja_aplicacaoureia*45)/100+(soja_adubacaonitrogenadasintetica*soja_nadubosintetico)/100+(soja_adubacaoorganicacompostoorganico*c_compostoorganico_teornitrogenio)/100+(soja_adubacaoorganicaestercoavicola*c_estercoavicola_teornitrogenio)/100+(soja_adubacaoorganicaestercogeral*c_estercogeral_teornitrogenio)/100+(soja_adubacaoorganicaoutros*c_aduboorganicogeral_teornitrogenio)/100)*0.3*0.025),"-",((soja_aplicacaoureia*45)/100+(soja_adubacaonitrogenadasintetica*soja_nadubosintetico)/100+(soja_adubacaoorganicacompostoorganico*c_compostoorganico_teornitrogenio)/100+(soja_adubacaoorganicaestercoavicola*c_estercoavicola_teornitrogenio)/100+(soja_adubacaoorganicaestercogeral*c_estercogeral_teornitrogenio)/100+(soja_adubacaoorganicaoutros*c_aduboorganicogeral_teornitrogenio)/100)*0.3*0.025)</f>
        <v>0</v>
      </c>
      <c r="H62" s="123"/>
      <c r="I62" s="121">
        <f t="shared" si="1"/>
        <v>0</v>
      </c>
      <c r="J62" s="124"/>
    </row>
    <row r="63" spans="1:18" hidden="1" outlineLevel="1">
      <c r="A63" s="43"/>
      <c r="B63" s="374"/>
      <c r="C63" s="377"/>
      <c r="D63" s="119" t="s">
        <v>437</v>
      </c>
      <c r="E63" s="120" t="s">
        <v>256</v>
      </c>
      <c r="F63" s="126"/>
      <c r="G63" s="122">
        <f>IF(ISERROR(((((soja_aplicacaoureia*45)/100+(soja_adubacaonitrogenadasintetica*soja_nadubosintetico)/100)*0.1)+(((soja_adubacaoorganicacompostoorganico*c_compostoorganico_teornitrogenio)/100+(soja_adubacaoorganicaestercoavicola*c_estercoavicola_teornitrogenio)/100+(soja_adubacaoorganicaestercogeral*c_estercogeral_teornitrogenio)/100+(soja_adubacaoorganicaoutros*c_aduboorganicogeral_teornitrogenio)/100)*0.2))*0.01),"-",((((soja_aplicacaoureia*45)/100+(soja_adubacaonitrogenadasintetica*soja_nadubosintetico)/100)*0.1)+(((soja_adubacaoorganicacompostoorganico*c_compostoorganico_teornitrogenio)/100+(soja_adubacaoorganicaestercoavicola*c_estercoavicola_teornitrogenio)/100+(soja_adubacaoorganicaestercogeral*c_estercogeral_teornitrogenio)/100+(soja_adubacaoorganicaoutros*c_aduboorganicogeral_teornitrogenio)/100)*0.2))*0.01)</f>
        <v>0</v>
      </c>
      <c r="H63" s="123"/>
      <c r="I63" s="121">
        <f t="shared" si="1"/>
        <v>0</v>
      </c>
      <c r="J63" s="124"/>
    </row>
    <row r="64" spans="1:18" hidden="1" outlineLevel="1">
      <c r="A64" s="43"/>
      <c r="B64" s="374"/>
      <c r="C64" s="377"/>
      <c r="D64" s="119" t="s">
        <v>363</v>
      </c>
      <c r="E64" s="120" t="s">
        <v>225</v>
      </c>
      <c r="F64" s="126"/>
      <c r="G64" s="122">
        <f>IF(ISERROR(soja_areaqueimaresiduos*soja_produtividademedia*c_queimaresiduosoja_n2o),"-",soja_areaqueimaresiduos*soja_produtividademedia*c_queimaresiduosoja_n2o)</f>
        <v>0</v>
      </c>
      <c r="H64" s="127">
        <f>IF(ISERROR(soja_areaqueimaresiduos*soja_produtividademedia*c_queimaresiduosoja_ch4),"-",soja_areaqueimaresiduos*soja_produtividademedia*c_queimaresiduosoja_ch4)</f>
        <v>0</v>
      </c>
      <c r="I64" s="121">
        <f t="shared" si="1"/>
        <v>0</v>
      </c>
      <c r="J64" s="124"/>
    </row>
    <row r="65" spans="1:10" hidden="1" outlineLevel="1">
      <c r="A65" s="43"/>
      <c r="B65" s="374"/>
      <c r="C65" s="377"/>
      <c r="D65" s="119" t="s">
        <v>362</v>
      </c>
      <c r="E65" s="120" t="s">
        <v>225</v>
      </c>
      <c r="F65" s="126"/>
      <c r="G65" s="122">
        <f>IF(ISERROR((soja_produtividademedia*soja_areacultivada*c_residuosoja_n2o)+(soja_adubacaoverdegraminea*c_residuoadubacaoverdegraminea_n2o)+(soja_adubacaoverdeleguminosa*c_residuoadubacaoverdeleguminosa_n2o)+(soja_adubacaoverdeoutros*c_residuoadubacaoverdeoutros_n2o)),"-",(soja_produtividademedia*soja_areacultivada*c_residuosoja_n2o)+(soja_adubacaoverdegraminea*c_residuoadubacaoverdegraminea_n2o)+(soja_adubacaoverdeleguminosa*c_residuoadubacaoverdeleguminosa_n2o)+(soja_adubacaoverdeoutros*c_residuoadubacaoverdeoutros_n2o))</f>
        <v>0</v>
      </c>
      <c r="H65" s="123"/>
      <c r="I65" s="121">
        <f t="shared" si="1"/>
        <v>0</v>
      </c>
      <c r="J65" s="124"/>
    </row>
    <row r="66" spans="1:10" hidden="1" outlineLevel="1">
      <c r="A66" s="43"/>
      <c r="B66" s="374"/>
      <c r="C66" s="378"/>
      <c r="D66" s="128" t="s">
        <v>257</v>
      </c>
      <c r="E66" s="120" t="s">
        <v>225</v>
      </c>
      <c r="F66" s="121">
        <f>IF(ISERROR(soja_cultivosoloorganico*c_co2eq_cultivosolosorganicos),"-",soja_cultivosoloorganico*c_co2eq_cultivosolosorganicos)</f>
        <v>0</v>
      </c>
      <c r="G66" s="122">
        <f>IF(ISERROR(soja_cultivosoloorganico*c_n2o_perdanitrogenio),"-",soja_cultivosoloorganico*c_n2o_perdanitrogenio)</f>
        <v>0</v>
      </c>
      <c r="H66" s="123"/>
      <c r="I66" s="121">
        <f t="shared" si="1"/>
        <v>0</v>
      </c>
      <c r="J66" s="124"/>
    </row>
    <row r="67" spans="1:10" hidden="1" outlineLevel="1">
      <c r="A67" s="43"/>
      <c r="B67" s="375"/>
      <c r="C67" s="129" t="s">
        <v>106</v>
      </c>
      <c r="D67" s="119" t="s">
        <v>93</v>
      </c>
      <c r="E67" s="120" t="s">
        <v>225</v>
      </c>
      <c r="F67" s="121">
        <f>IF(ISERROR(IF(soja_tipoconsumocombustivel="Quantidade consumida",(soja_consumodiesel*(mistura_diesel_soja/100))*c_mecanizacao_co2,IF(soja_tipoconsumocombustivel="Operações mecanizadas",SUM(IF(soja_operacaomecanizada_calagem="Sim",c_horamaquina_soja_calagem*soja_operacaomecanizada_calagem_repeticoes,0),IF(soja_operacaomecanizada_aplicacaofungicida="Sim",c_horamaquina_soja_aplicacaofungicida*soja_operacaomecanizada_aplicacaofungicida_repeticoes,0),IF(soja_operacaomecanizada_dessecacaopreemergente="Sim",c_horamaquina_soja_dessecacaopreemergente*soja_operacaomecanizada_dessecacaopreemergente_repeticoes,0),IF(soja_operacaomecanizada_aplicacaoherbicidaposemergente="Sim",c_horamaquina_soja_aplicacaoherbicidaposemergente*soja_operacaomecanizada_aplicacaoherbicidaposemergente_repeticoes,0),IF(soja_operacaomecanizada_aplicacaoinseticida="Sim",c_horamaquina_soja_aplicacaoinseticida*soja_operacaomecanizada_aplicacaoinseticida_repeticoes,0),IF(soja_operacaomecanizada_limpezaarearocadeira="Sim",c_horamaquina_soja_limpezaarea*soja_operacaomecanizada_limpezaarearocadeira_repeticoes,0),IF(soja_operacaomecanizada_plantioadubacao="Sim",c_horamaquina_soja_plantiocomadubacao*soja_operacaomecanizada_plantioadubacao_repeticoes,0))*c_mecanizacao_co2*20*(mistura_diesel_soja/100)*soja_areacultivada,0))),"-",IF(soja_tipoconsumocombustivel="Quantidade consumida",(soja_consumodiesel*(mistura_diesel_soja/100))*c_mecanizacao_co2,IF(soja_tipoconsumocombustivel="Operações mecanizadas",SUM(IF(soja_operacaomecanizada_calagem="Sim",c_horamaquina_soja_calagem*soja_operacaomecanizada_calagem_repeticoes,0),IF(soja_operacaomecanizada_aplicacaofungicida="Sim",c_horamaquina_soja_aplicacaofungicida*soja_operacaomecanizada_aplicacaofungicida_repeticoes,0),IF(soja_operacaomecanizada_dessecacaopreemergente="Sim",c_horamaquina_soja_dessecacaopreemergente*soja_operacaomecanizada_dessecacaopreemergente_repeticoes,0),IF(soja_operacaomecanizada_aplicacaoherbicidaposemergente="Sim",c_horamaquina_soja_aplicacaoherbicidaposemergente*soja_operacaomecanizada_aplicacaoherbicidaposemergente_repeticoes,0),IF(soja_operacaomecanizada_aplicacaoinseticida="Sim",c_horamaquina_soja_aplicacaoinseticida*soja_operacaomecanizada_aplicacaoinseticida_repeticoes,0),IF(soja_operacaomecanizada_limpezaarearocadeira="Sim",c_horamaquina_soja_limpezaarea*soja_operacaomecanizada_limpezaarearocadeira_repeticoes,0),IF(soja_operacaomecanizada_plantioadubacao="Sim",c_horamaquina_soja_plantiocomadubacao*soja_operacaomecanizada_plantioadubacao_repeticoes,0))*c_mecanizacao_co2*20*(mistura_diesel_soja/100)*soja_areacultivada,0)))</f>
        <v>0</v>
      </c>
      <c r="G67" s="122">
        <f>IF(ISERROR(IF(soja_tipoconsumocombustivel="Quantidade consumida",(soja_consumodiesel*(mistura_diesel_soja/100))*c_mecanizacao_n2o,IF(soja_tipoconsumocombustivel="Operações mecanizadas",SUM(IF(soja_operacaomecanizada_calagem="Sim",c_horamaquina_soja_calagem*soja_operacaomecanizada_calagem_repeticoes,0),IF(soja_operacaomecanizada_aplicacaofungicida="Sim",c_horamaquina_soja_aplicacaofungicida*soja_operacaomecanizada_aplicacaofungicida_repeticoes,0),IF(soja_operacaomecanizada_dessecacaopreemergente="Sim",c_horamaquina_soja_dessecacaopreemergente*soja_operacaomecanizada_dessecacaopreemergente_repeticoes,0),IF(soja_operacaomecanizada_aplicacaoherbicidaposemergente="Sim",c_horamaquina_soja_aplicacaoherbicidaposemergente*soja_operacaomecanizada_aplicacaoherbicidaposemergente_repeticoes,0),IF(soja_operacaomecanizada_aplicacaoinseticida="Sim",c_horamaquina_soja_aplicacaoinseticida*soja_operacaomecanizada_aplicacaoinseticida_repeticoes,0),IF(soja_operacaomecanizada_limpezaarearocadeira="Sim",c_horamaquina_soja_limpezaarea*soja_operacaomecanizada_limpezaarearocadeira_repeticoes,0),IF(soja_operacaomecanizada_plantioadubacao="Sim",c_horamaquina_soja_plantiocomadubacao*soja_operacaomecanizada_plantioadubacao_repeticoes,0))*c_mecanizacao_n2o*20*(mistura_diesel_soja/100)*soja_areacultivada,0))),"-",IF(soja_tipoconsumocombustivel="Quantidade consumida",(soja_consumodiesel*(mistura_diesel_soja/100))*c_mecanizacao_n2o,IF(soja_tipoconsumocombustivel="Operações mecanizadas",SUM(IF(soja_operacaomecanizada_calagem="Sim",c_horamaquina_soja_calagem*soja_operacaomecanizada_calagem_repeticoes,0),IF(soja_operacaomecanizada_aplicacaofungicida="Sim",c_horamaquina_soja_aplicacaofungicida*soja_operacaomecanizada_aplicacaofungicida_repeticoes,0),IF(soja_operacaomecanizada_dessecacaopreemergente="Sim",c_horamaquina_soja_dessecacaopreemergente*soja_operacaomecanizada_dessecacaopreemergente_repeticoes,0),IF(soja_operacaomecanizada_aplicacaoherbicidaposemergente="Sim",c_horamaquina_soja_aplicacaoherbicidaposemergente*soja_operacaomecanizada_aplicacaoherbicidaposemergente_repeticoes,0),IF(soja_operacaomecanizada_aplicacaoinseticida="Sim",c_horamaquina_soja_aplicacaoinseticida*soja_operacaomecanizada_aplicacaoinseticida_repeticoes,0),IF(soja_operacaomecanizada_limpezaarearocadeira="Sim",c_horamaquina_soja_limpezaarea*soja_operacaomecanizada_limpezaarearocadeira_repeticoes,0),IF(soja_operacaomecanizada_plantioadubacao="Sim",c_horamaquina_soja_plantiocomadubacao*soja_operacaomecanizada_plantioadubacao_repeticoes,0))*c_mecanizacao_n2o*20*(mistura_diesel_soja/100)*soja_areacultivada,0)))</f>
        <v>0</v>
      </c>
      <c r="H67" s="127">
        <f>IF(ISERROR(IF(soja_tipoconsumocombustivel="Quantidade consumida",(soja_consumodiesel*(mistura_diesel_soja/100))*c_mecanizacao_ch4,IF(soja_tipoconsumocombustivel="Operações mecanizadas",SUM(IF(soja_operacaomecanizada_calagem="Sim",c_horamaquina_soja_calagem*soja_operacaomecanizada_calagem_repeticoes,0),IF(soja_operacaomecanizada_aplicacaofungicida="Sim",c_horamaquina_soja_aplicacaofungicida*soja_operacaomecanizada_aplicacaofungicida_repeticoes,0),IF(soja_operacaomecanizada_dessecacaopreemergente="Sim",c_horamaquina_soja_dessecacaopreemergente*soja_operacaomecanizada_dessecacaopreemergente_repeticoes,0),IF(soja_operacaomecanizada_aplicacaoherbicidaposemergente="Sim",c_horamaquina_soja_aplicacaoherbicidaposemergente*soja_operacaomecanizada_aplicacaoherbicidaposemergente_repeticoes,0),IF(soja_operacaomecanizada_aplicacaoinseticida="Sim",c_horamaquina_soja_aplicacaoinseticida*soja_operacaomecanizada_aplicacaoinseticida_repeticoes,0),IF(soja_operacaomecanizada_limpezaarearocadeira="Sim",c_horamaquina_soja_limpezaarea*soja_operacaomecanizada_limpezaarearocadeira_repeticoes,0),IF(soja_operacaomecanizada_plantioadubacao="Sim",c_horamaquina_soja_plantiocomadubacao*soja_operacaomecanizada_plantioadubacao_repeticoes,0))*c_mecanizacao_ch4*20*(mistura_diesel_soja/100)*soja_areacultivada,0))),"-",IF(soja_tipoconsumocombustivel="Quantidade consumida",(soja_consumodiesel*(mistura_diesel_soja/100))*c_mecanizacao_ch4,IF(soja_tipoconsumocombustivel="Operações mecanizadas",SUM(IF(soja_operacaomecanizada_calagem="Sim",c_horamaquina_soja_calagem*soja_operacaomecanizada_calagem_repeticoes,0),IF(soja_operacaomecanizada_aplicacaofungicida="Sim",c_horamaquina_soja_aplicacaofungicida*soja_operacaomecanizada_aplicacaofungicida_repeticoes,0),IF(soja_operacaomecanizada_dessecacaopreemergente="Sim",c_horamaquina_soja_dessecacaopreemergente*soja_operacaomecanizada_dessecacaopreemergente_repeticoes,0),IF(soja_operacaomecanizada_aplicacaoherbicidaposemergente="Sim",c_horamaquina_soja_aplicacaoherbicidaposemergente*soja_operacaomecanizada_aplicacaoherbicidaposemergente_repeticoes,0),IF(soja_operacaomecanizada_aplicacaoinseticida="Sim",c_horamaquina_soja_aplicacaoinseticida*soja_operacaomecanizada_aplicacaoinseticida_repeticoes,0),IF(soja_operacaomecanizada_limpezaarearocadeira="Sim",c_horamaquina_soja_limpezaarea*soja_operacaomecanizada_limpezaarearocadeira_repeticoes,0),IF(soja_operacaomecanizada_plantioadubacao="Sim",c_horamaquina_soja_plantiocomadubacao*soja_operacaomecanizada_plantioadubacao_repeticoes,0))*c_mecanizacao_ch4*20*(mistura_diesel_soja/100)*soja_areacultivada,0)))</f>
        <v>0</v>
      </c>
      <c r="I67" s="121">
        <f t="shared" si="1"/>
        <v>0</v>
      </c>
      <c r="J67" s="124"/>
    </row>
    <row r="68" spans="1:10" hidden="1" outlineLevel="1">
      <c r="A68" s="43"/>
      <c r="B68" s="130" t="s">
        <v>151</v>
      </c>
      <c r="C68" s="130" t="s">
        <v>213</v>
      </c>
      <c r="D68" s="130" t="s">
        <v>99</v>
      </c>
      <c r="E68" s="131" t="s">
        <v>225</v>
      </c>
      <c r="F68" s="132">
        <f>IF(ISERROR((c_emissaoexterna_fungicida*soja_aplicacaofungicida)+(c_emissaoexterna_herbicida*soja_aplicacaoherbicida)+(c_emissaoexterna_inseticida*soja_aplicacaoinseticida)),"-",(c_emissaoexterna_fungicida*soja_aplicacaofungicida)+(c_emissaoexterna_herbicida*soja_aplicacaoherbicida)+(c_emissaoexterna_inseticida*soja_aplicacaoinseticida))</f>
        <v>0</v>
      </c>
      <c r="G68" s="133"/>
      <c r="H68" s="134"/>
      <c r="I68" s="132">
        <f t="shared" si="1"/>
        <v>0</v>
      </c>
      <c r="J68" s="124"/>
    </row>
    <row r="69" spans="1:10" hidden="1" outlineLevel="1">
      <c r="A69" s="43"/>
      <c r="B69" s="380" t="s">
        <v>260</v>
      </c>
      <c r="C69" s="381"/>
      <c r="D69" s="135" t="s">
        <v>51</v>
      </c>
      <c r="E69" s="136" t="s">
        <v>225</v>
      </c>
      <c r="F69" s="137">
        <f>IF(ISERROR(IF(soja_tempoadocaosistema="Menor ou igual a 20 anos",soja_areacultivada*(c_mudancausosolo_soja*-1),0)),"-",IF(soja_tempoadocaosistema="Menor ou igual a 20 anos",soja_areacultivada*(c_mudancausosolo_soja*-1),0))</f>
        <v>0</v>
      </c>
      <c r="G69" s="138"/>
      <c r="H69" s="139"/>
      <c r="I69" s="140">
        <f t="shared" si="1"/>
        <v>0</v>
      </c>
      <c r="J69" s="141">
        <f>IF(ISERROR(IF(F69&lt;0,F69*-1,0)+IF(G69*pag_n2o&lt;0,G69*pag_n2o*-1,0)+IF(H69*pag_ch4&lt;0,H69*pag_ch4*-1,0)),"-",IF(F69&lt;0,F69*-1,0)+IF(G69*pag_n2o&lt;0,G69*pag_n2o*-1,0)+IF(H69*pag_ch4&lt;0,H69*pag_ch4*-1,0))</f>
        <v>0</v>
      </c>
    </row>
    <row r="70" spans="1:10" ht="13.5" hidden="1" outlineLevel="1" thickBot="1">
      <c r="A70" s="43"/>
      <c r="B70" s="382"/>
      <c r="C70" s="383"/>
      <c r="D70" s="135" t="s">
        <v>440</v>
      </c>
      <c r="E70" s="142" t="s">
        <v>225</v>
      </c>
      <c r="F70" s="143">
        <f>IF(ISERROR(IF(soja_tipoconsumocombustivel="Quantidade consumida",(soja_consumodiesel*(1-(mistura_diesel_soja/100)))*c_emissao_biodiesel,IF(soja_tipoconsumocombustivel="Operações mecanizadas",SUM(IF(soja_operacaomecanizada_calagem="Sim",c_horamaquina_soja_calagem*soja_operacaomecanizada_calagem_repeticoes,0),IF(soja_operacaomecanizada_aplicacaofungicida="Sim",c_horamaquina_soja_aplicacaofungicida*soja_operacaomecanizada_aplicacaofungicida_repeticoes,0),IF(soja_operacaomecanizada_dessecacaopreemergente="Sim",c_horamaquina_soja_dessecacaopreemergente*soja_operacaomecanizada_dessecacaopreemergente_repeticoes,0),IF(soja_operacaomecanizada_aplicacaoherbicidaposemergente="Sim",c_horamaquina_soja_aplicacaoherbicidaposemergente*soja_operacaomecanizada_aplicacaoherbicidaposemergente_repeticoes,0),IF(soja_operacaomecanizada_aplicacaoinseticida="Sim",c_horamaquina_soja_aplicacaoinseticida*soja_operacaomecanizada_aplicacaoinseticida_repeticoes,0),IF(soja_operacaomecanizada_limpezaarearocadeira="Sim",c_horamaquina_soja_limpezaarea*soja_operacaomecanizada_limpezaarearocadeira_repeticoes,0),IF(soja_operacaomecanizada_plantioadubacao="Sim",c_horamaquina_soja_plantiocomadubacao*soja_operacaomecanizada_plantioadubacao_repeticoes,0))*c_emissao_biodiesel*20*(1-(mistura_diesel_soja/100))*soja_areacultivada,0))),"-",IF(soja_tipoconsumocombustivel="Quantidade consumida",(soja_consumodiesel*(1-(mistura_diesel_soja/100)))*c_emissao_biodiesel,IF(soja_tipoconsumocombustivel="Operações mecanizadas",SUM(IF(soja_operacaomecanizada_calagem="Sim",c_horamaquina_soja_calagem*soja_operacaomecanizada_calagem_repeticoes,0),IF(soja_operacaomecanizada_aplicacaofungicida="Sim",c_horamaquina_soja_aplicacaofungicida*soja_operacaomecanizada_aplicacaofungicida_repeticoes,0),IF(soja_operacaomecanizada_dessecacaopreemergente="Sim",c_horamaquina_soja_dessecacaopreemergente*soja_operacaomecanizada_dessecacaopreemergente_repeticoes,0),IF(soja_operacaomecanizada_aplicacaoherbicidaposemergente="Sim",c_horamaquina_soja_aplicacaoherbicidaposemergente*soja_operacaomecanizada_aplicacaoherbicidaposemergente_repeticoes,0),IF(soja_operacaomecanizada_aplicacaoinseticida="Sim",c_horamaquina_soja_aplicacaoinseticida*soja_operacaomecanizada_aplicacaoinseticida_repeticoes,0),IF(soja_operacaomecanizada_limpezaarearocadeira="Sim",c_horamaquina_soja_limpezaarea*soja_operacaomecanizada_limpezaarearocadeira_repeticoes,0),IF(soja_operacaomecanizada_plantioadubacao="Sim",c_horamaquina_soja_plantiocomadubacao*soja_operacaomecanizada_plantioadubacao_repeticoes,0))*c_emissao_biodiesel*20*(1-(mistura_diesel_soja/100))*soja_areacultivada,0)))</f>
        <v>0</v>
      </c>
      <c r="G70" s="144"/>
      <c r="H70" s="145"/>
      <c r="I70" s="146">
        <f t="shared" si="1"/>
        <v>0</v>
      </c>
      <c r="J70" s="147"/>
    </row>
    <row r="71" spans="1:10" hidden="1" outlineLevel="1">
      <c r="A71" s="43"/>
      <c r="B71" s="148"/>
      <c r="C71" s="149"/>
      <c r="D71" s="149"/>
      <c r="E71" s="150" t="s">
        <v>438</v>
      </c>
      <c r="F71" s="151">
        <f>IF(ISERROR(SUMIF(F58:F70,"&gt;=0")),"-",SUMIF(F58:F70,"&gt;=0"))</f>
        <v>0</v>
      </c>
      <c r="G71" s="152">
        <f>IF(ISERROR(SUMIF(G58:G70,"&gt;=0")),"-",SUMIF(G58:G70,"&gt;=0"))</f>
        <v>0</v>
      </c>
      <c r="H71" s="153">
        <f>IF(ISERROR(SUMIF(H58:H70,"&gt;=0")),"-",SUMIF(H58:H70,"&gt;=0"))</f>
        <v>0</v>
      </c>
      <c r="I71" s="151">
        <f>IF(ISERROR(SUMIF(I58:I70,"&gt;=0")),"-",SUMIF(I58:I70,"&gt;=0"))</f>
        <v>0</v>
      </c>
      <c r="J71" s="154">
        <f>IF(ISERROR(SUMIF(J58:J70,"&gt;=0")),"-",SUMIF(J58:J70,"&gt;=0"))</f>
        <v>0</v>
      </c>
    </row>
    <row r="72" spans="1:10" ht="15.75" hidden="1" outlineLevel="1">
      <c r="A72" s="43"/>
      <c r="B72" s="155"/>
      <c r="C72" s="156"/>
      <c r="D72" s="156"/>
      <c r="E72" s="157" t="s">
        <v>455</v>
      </c>
      <c r="F72" s="158">
        <f>IF(ISERROR(F71),"-",F71)</f>
        <v>0</v>
      </c>
      <c r="G72" s="159">
        <f>IF(ISERROR(G71*pag_n2o),"-",G71*pag_n2o)</f>
        <v>0</v>
      </c>
      <c r="H72" s="160">
        <f>IF(ISERROR(H71*pag_ch4),"-",H71*pag_ch4)</f>
        <v>0</v>
      </c>
      <c r="I72" s="161"/>
      <c r="J72" s="162"/>
    </row>
    <row r="73" spans="1:10" ht="13.5" hidden="1" outlineLevel="1" thickBot="1">
      <c r="A73" s="43"/>
      <c r="B73" s="163"/>
      <c r="C73" s="164"/>
      <c r="D73" s="164"/>
      <c r="E73" s="165" t="s">
        <v>443</v>
      </c>
      <c r="F73" s="166">
        <f>IF(ISERROR(SUMIF(F58:F70,"&lt;0")*-1),"-",SUMIF(F58:F70,"&lt;0")*-1)</f>
        <v>0</v>
      </c>
      <c r="G73" s="167"/>
      <c r="H73" s="168"/>
      <c r="I73" s="169"/>
      <c r="J73" s="170"/>
    </row>
    <row r="74" spans="1:10" hidden="1" outlineLevel="1">
      <c r="A74" s="43"/>
      <c r="B74" s="43"/>
      <c r="C74" s="43"/>
      <c r="D74" s="43"/>
      <c r="E74" s="43"/>
      <c r="F74" s="35"/>
      <c r="G74" s="43"/>
      <c r="H74" s="43"/>
      <c r="I74" s="24"/>
      <c r="J74" s="24"/>
    </row>
    <row r="75" spans="1:10" hidden="1" outlineLevel="1">
      <c r="A75" s="43"/>
      <c r="B75" s="367" t="s">
        <v>524</v>
      </c>
      <c r="C75" s="367"/>
      <c r="D75" s="367"/>
      <c r="E75" s="43"/>
      <c r="F75" s="35"/>
      <c r="G75" s="43"/>
      <c r="H75" s="43"/>
      <c r="I75" s="24"/>
      <c r="J75" s="24"/>
    </row>
    <row r="76" spans="1:10" ht="15.75" hidden="1" outlineLevel="1">
      <c r="A76" s="43"/>
      <c r="B76" s="171"/>
      <c r="C76" s="172" t="s">
        <v>525</v>
      </c>
      <c r="D76" s="172" t="s">
        <v>526</v>
      </c>
      <c r="E76" s="43"/>
      <c r="F76" s="35"/>
      <c r="G76" s="43"/>
      <c r="H76" s="43"/>
      <c r="I76" s="24"/>
      <c r="J76" s="24"/>
    </row>
    <row r="77" spans="1:10" hidden="1" outlineLevel="1">
      <c r="A77" s="43"/>
      <c r="B77" s="173" t="s">
        <v>109</v>
      </c>
      <c r="C77" s="174">
        <f>IF(ISERROR(soja_areaqueimaresiduos*soja_produtividademedia*c_queimaresiduosoja_co),"-",soja_areaqueimaresiduos*soja_produtividademedia*c_queimaresiduosoja_co)</f>
        <v>0</v>
      </c>
      <c r="D77" s="174">
        <f>IF(ISERROR(C77*conversor_co_co2),"-",C77*conversor_co_co2)</f>
        <v>0</v>
      </c>
      <c r="E77" s="43"/>
      <c r="F77" s="35"/>
      <c r="G77" s="43"/>
      <c r="H77" s="43"/>
      <c r="I77" s="24"/>
      <c r="J77" s="24"/>
    </row>
    <row r="78" spans="1:10" ht="15.75" hidden="1" outlineLevel="1">
      <c r="A78" s="43"/>
      <c r="B78" s="173" t="s">
        <v>253</v>
      </c>
      <c r="C78" s="174">
        <f>IF(ISERROR(soja_areaqueimaresiduos*soja_produtividademedia*c_queimaresiduosoja_nox),"-",soja_areaqueimaresiduos*soja_produtividademedia*c_queimaresiduosoja_nox)</f>
        <v>0</v>
      </c>
      <c r="D78" s="174">
        <f>IF(ISERROR(conversor_no2_n2o*C78*pag_n2o),"-",conversor_no2_n2o*C78*pag_n2o)</f>
        <v>0</v>
      </c>
      <c r="E78" s="43"/>
      <c r="F78" s="35"/>
      <c r="G78" s="43"/>
      <c r="H78" s="43"/>
      <c r="I78" s="24"/>
      <c r="J78" s="24"/>
    </row>
    <row r="79" spans="1:10">
      <c r="A79" s="43"/>
      <c r="B79" s="43"/>
      <c r="C79" s="43"/>
      <c r="D79" s="43"/>
      <c r="E79" s="43"/>
      <c r="F79" s="35"/>
      <c r="G79" s="43"/>
      <c r="H79" s="43"/>
      <c r="I79" s="24"/>
      <c r="J79" s="24"/>
    </row>
    <row r="80" spans="1:10" collapsed="1">
      <c r="A80" s="100"/>
      <c r="B80" s="368" t="s">
        <v>56</v>
      </c>
      <c r="C80" s="368"/>
      <c r="D80" s="368"/>
      <c r="E80" s="368"/>
      <c r="F80" s="368"/>
      <c r="G80" s="368"/>
      <c r="H80" s="368"/>
      <c r="I80" s="368"/>
      <c r="J80" s="369"/>
    </row>
    <row r="81" spans="1:18" hidden="1" outlineLevel="1">
      <c r="A81" s="43"/>
      <c r="B81" s="43"/>
      <c r="C81" s="43"/>
      <c r="D81" s="43"/>
      <c r="E81" s="43"/>
      <c r="F81" s="43"/>
      <c r="G81" s="43"/>
      <c r="H81" s="43"/>
      <c r="I81" s="43"/>
      <c r="J81" s="43"/>
    </row>
    <row r="82" spans="1:18" hidden="1" outlineLevel="1">
      <c r="A82" s="43"/>
      <c r="B82" s="379" t="s">
        <v>445</v>
      </c>
      <c r="C82" s="379"/>
      <c r="D82" s="379"/>
      <c r="E82" s="379"/>
      <c r="F82" s="43"/>
      <c r="G82" s="43"/>
      <c r="H82" s="43"/>
      <c r="I82" s="43"/>
      <c r="J82" s="24"/>
    </row>
    <row r="83" spans="1:18" ht="28.5" hidden="1" outlineLevel="1">
      <c r="A83" s="43"/>
      <c r="B83" s="175"/>
      <c r="C83" s="102" t="s">
        <v>386</v>
      </c>
      <c r="D83" s="102" t="s">
        <v>385</v>
      </c>
      <c r="E83" s="102" t="s">
        <v>423</v>
      </c>
      <c r="F83" s="43"/>
      <c r="G83" s="24"/>
      <c r="H83" s="24"/>
      <c r="I83" s="24"/>
      <c r="J83" s="24"/>
    </row>
    <row r="84" spans="1:18" hidden="1" outlineLevel="1">
      <c r="A84" s="43"/>
      <c r="B84" s="103" t="s">
        <v>105</v>
      </c>
      <c r="C84" s="104">
        <f>IF(ISERROR(SUM(I93:I102)),"-",SUM(I93:I102))</f>
        <v>0</v>
      </c>
      <c r="D84" s="104" t="str">
        <f>IF(ISERROR(C84/milho_areacultivada),"-",C84/milho_areacultivada)</f>
        <v>-</v>
      </c>
      <c r="E84" s="104" t="str">
        <f>IF(ISERROR(C84/(milho_areacultivada*milho_produtividademedia)),"-",C84/(milho_areacultivada*milho_produtividademedia))</f>
        <v>-</v>
      </c>
      <c r="F84" s="43"/>
      <c r="G84" s="24"/>
      <c r="H84" s="24"/>
      <c r="I84" s="24"/>
      <c r="J84" s="24"/>
      <c r="Q84" s="24"/>
      <c r="R84" s="24"/>
    </row>
    <row r="85" spans="1:18" hidden="1" outlineLevel="1">
      <c r="A85" s="43"/>
      <c r="B85" s="105" t="s">
        <v>151</v>
      </c>
      <c r="C85" s="106">
        <f>IF(ISERROR(I103),"-",I103)</f>
        <v>0</v>
      </c>
      <c r="D85" s="106" t="str">
        <f>IF(ISERROR(C85/milho_areacultivada),"-",C85/milho_areacultivada)</f>
        <v>-</v>
      </c>
      <c r="E85" s="106" t="str">
        <f>IF(ISERROR(C85/(milho_areacultivada*milho_produtividademedia)),"-",C85/(milho_areacultivada*milho_produtividademedia))</f>
        <v>-</v>
      </c>
      <c r="F85" s="43"/>
      <c r="G85" s="24"/>
      <c r="H85" s="24"/>
      <c r="I85" s="24"/>
      <c r="J85" s="24"/>
      <c r="Q85" s="24"/>
      <c r="R85" s="24"/>
    </row>
    <row r="86" spans="1:18" hidden="1" outlineLevel="1">
      <c r="A86" s="43"/>
      <c r="B86" s="107" t="s">
        <v>173</v>
      </c>
      <c r="C86" s="108">
        <f>IF(ISERROR(SUM(I104:I105)),"-",SUM(I104:I105))</f>
        <v>0</v>
      </c>
      <c r="D86" s="108" t="str">
        <f>IF(ISERROR(C86/milho_areacultivada),"-",C86/milho_areacultivada)</f>
        <v>-</v>
      </c>
      <c r="E86" s="108" t="str">
        <f>IF(ISERROR(C86/(milho_areacultivada*milho_produtividademedia)),"-",C86/(milho_areacultivada*milho_produtividademedia))</f>
        <v>-</v>
      </c>
      <c r="F86" s="43"/>
      <c r="G86" s="24"/>
      <c r="H86" s="24"/>
      <c r="I86" s="24"/>
      <c r="J86" s="24"/>
      <c r="Q86" s="24"/>
      <c r="R86" s="24"/>
    </row>
    <row r="87" spans="1:18" ht="15.75" hidden="1" outlineLevel="1">
      <c r="A87" s="43"/>
      <c r="B87" s="109" t="s">
        <v>422</v>
      </c>
      <c r="C87" s="110">
        <f>IF(ISERROR(J106),"-",J106)</f>
        <v>0</v>
      </c>
      <c r="D87" s="110" t="str">
        <f>IF(ISERROR(C87/milho_areacultivada),"-",C87/milho_areacultivada)</f>
        <v>-</v>
      </c>
      <c r="E87" s="110" t="str">
        <f>IF(ISERROR(C87/(milho_areacultivada*milho_produtividademedia)),"-",C87/(milho_areacultivada*milho_produtividademedia))</f>
        <v>-</v>
      </c>
      <c r="F87" s="43"/>
      <c r="G87" s="24"/>
      <c r="H87" s="24"/>
      <c r="I87" s="24"/>
      <c r="J87" s="24"/>
      <c r="Q87" s="24"/>
      <c r="R87" s="24"/>
    </row>
    <row r="88" spans="1:18" hidden="1" outlineLevel="1">
      <c r="A88" s="43"/>
      <c r="B88" s="111" t="s">
        <v>169</v>
      </c>
      <c r="C88" s="112">
        <f>IF(ISERROR(SUM(C84:C86)-C87),"-",SUM(C84:C86)-C87)</f>
        <v>0</v>
      </c>
      <c r="D88" s="112" t="str">
        <f>IF(ISERROR(C88/milho_areacultivada),"-",C88/milho_areacultivada)</f>
        <v>-</v>
      </c>
      <c r="E88" s="112" t="str">
        <f>IF(ISERROR(C88/(milho_areacultivada*milho_produtividademedia)),"-",C88/(milho_areacultivada*milho_produtividademedia))</f>
        <v>-</v>
      </c>
      <c r="F88" s="43"/>
      <c r="G88" s="24"/>
      <c r="H88" s="24"/>
      <c r="I88" s="24"/>
      <c r="J88" s="24"/>
      <c r="Q88" s="24"/>
      <c r="R88" s="24"/>
    </row>
    <row r="89" spans="1:18" hidden="1" outlineLevel="1">
      <c r="A89" s="43"/>
      <c r="B89" s="43"/>
      <c r="C89" s="43"/>
      <c r="D89" s="43"/>
      <c r="E89" s="43"/>
      <c r="F89" s="43"/>
      <c r="G89" s="24"/>
      <c r="H89" s="24"/>
      <c r="I89" s="24"/>
      <c r="J89" s="24"/>
      <c r="Q89" s="24"/>
      <c r="R89" s="24"/>
    </row>
    <row r="90" spans="1:18" ht="13.5" hidden="1" outlineLevel="1" thickBot="1">
      <c r="A90" s="43"/>
      <c r="B90" s="367" t="s">
        <v>446</v>
      </c>
      <c r="C90" s="367"/>
      <c r="D90" s="367"/>
      <c r="E90" s="367"/>
      <c r="F90" s="367"/>
      <c r="G90" s="367"/>
      <c r="H90" s="367"/>
      <c r="I90" s="367"/>
      <c r="J90" s="367"/>
      <c r="Q90" s="24"/>
      <c r="R90" s="24"/>
    </row>
    <row r="91" spans="1:18" hidden="1" outlineLevel="1">
      <c r="A91" s="43"/>
      <c r="B91" s="113"/>
      <c r="C91" s="114"/>
      <c r="D91" s="114"/>
      <c r="E91" s="114"/>
      <c r="F91" s="394" t="s">
        <v>108</v>
      </c>
      <c r="G91" s="395"/>
      <c r="H91" s="396"/>
      <c r="I91" s="385" t="s">
        <v>456</v>
      </c>
      <c r="J91" s="387" t="s">
        <v>444</v>
      </c>
      <c r="Q91" s="24"/>
      <c r="R91" s="24"/>
    </row>
    <row r="92" spans="1:18" ht="15.75" hidden="1" outlineLevel="1">
      <c r="A92" s="43"/>
      <c r="B92" s="389" t="s">
        <v>259</v>
      </c>
      <c r="C92" s="390"/>
      <c r="D92" s="391"/>
      <c r="E92" s="115" t="s">
        <v>232</v>
      </c>
      <c r="F92" s="116" t="s">
        <v>215</v>
      </c>
      <c r="G92" s="117" t="s">
        <v>217</v>
      </c>
      <c r="H92" s="176" t="s">
        <v>216</v>
      </c>
      <c r="I92" s="386"/>
      <c r="J92" s="388"/>
      <c r="Q92" s="24"/>
      <c r="R92" s="24"/>
    </row>
    <row r="93" spans="1:18" hidden="1" outlineLevel="1">
      <c r="A93" s="43"/>
      <c r="B93" s="373" t="s">
        <v>105</v>
      </c>
      <c r="C93" s="376" t="s">
        <v>168</v>
      </c>
      <c r="D93" s="119" t="s">
        <v>255</v>
      </c>
      <c r="E93" s="120" t="s">
        <v>225</v>
      </c>
      <c r="F93" s="121">
        <f>IF(ISERROR(c_co2_ureia*milho_aplicacaoureia),"-",c_co2_ureia*milho_aplicacaoureia)</f>
        <v>0</v>
      </c>
      <c r="G93" s="122">
        <f>IF(ISERROR(c_n2o_fertilizantesintetico*((milho_aplicacaoureia*45)/100)),"-",c_n2o_fertilizantesintetico*((milho_aplicacaoureia*45)/100))</f>
        <v>0</v>
      </c>
      <c r="H93" s="177"/>
      <c r="I93" s="121">
        <f t="shared" ref="I93:I105" si="2">IF(ISERROR(IF(F93&gt;=0,F93,0)+IF(G93*pag_n2o&gt;=0,G93*pag_n2o,0)+IF(H93*pag_ch4&gt;=0,H93*pag_ch4,0)),"-",IF(F93&gt;=0,F93,0)+IF(G93*pag_n2o&gt;=0,G93*pag_n2o,0)+IF(H93*pag_ch4&gt;=0,H93*pag_ch4,0))</f>
        <v>0</v>
      </c>
      <c r="J93" s="139"/>
      <c r="Q93" s="24"/>
      <c r="R93" s="24"/>
    </row>
    <row r="94" spans="1:18" hidden="1" outlineLevel="1">
      <c r="A94" s="43"/>
      <c r="B94" s="374"/>
      <c r="C94" s="377"/>
      <c r="D94" s="119" t="s">
        <v>6</v>
      </c>
      <c r="E94" s="120" t="s">
        <v>225</v>
      </c>
      <c r="F94" s="121">
        <f>IF(ISERROR((milho_calcariocalcitico*c_co2_calcariocalcitico)+(milho_calcariodolomitico*c_co2_calcariodolomitico)),"-",(milho_calcariocalcitico*c_co2_calcariocalcitico)+(milho_calcariodolomitico*c_co2_calcariodolomitico))</f>
        <v>0</v>
      </c>
      <c r="G94" s="125"/>
      <c r="H94" s="177"/>
      <c r="I94" s="121">
        <f t="shared" si="2"/>
        <v>0</v>
      </c>
      <c r="J94" s="139"/>
      <c r="Q94" s="24"/>
      <c r="R94" s="24"/>
    </row>
    <row r="95" spans="1:18" hidden="1" outlineLevel="1">
      <c r="A95" s="43"/>
      <c r="B95" s="374"/>
      <c r="C95" s="377"/>
      <c r="D95" s="119" t="s">
        <v>49</v>
      </c>
      <c r="E95" s="120" t="s">
        <v>243</v>
      </c>
      <c r="F95" s="126"/>
      <c r="G95" s="122">
        <f>IF(ISERROR(c_n2o_fertilizantesintetico*((milho_adubacaonitrogenadasintetica*milho_nadubosintetico)/100)),"-",c_n2o_fertilizantesintetico*((milho_adubacaonitrogenadasintetica*milho_nadubosintetico)/100))</f>
        <v>0</v>
      </c>
      <c r="H95" s="177"/>
      <c r="I95" s="121">
        <f t="shared" si="2"/>
        <v>0</v>
      </c>
      <c r="J95" s="139"/>
      <c r="Q95" s="24"/>
      <c r="R95" s="24"/>
    </row>
    <row r="96" spans="1:18" hidden="1" outlineLevel="1">
      <c r="A96" s="43"/>
      <c r="B96" s="374"/>
      <c r="C96" s="377"/>
      <c r="D96" s="119" t="s">
        <v>50</v>
      </c>
      <c r="E96" s="120" t="s">
        <v>225</v>
      </c>
      <c r="F96" s="126"/>
      <c r="G96" s="122">
        <f>IF(ISERROR((milho_adubacaoorganicacompostoorganico*c_n2o_compostoorganico)+(milho_adubacaoorganicaestercogeral*c_n2o_estercogeral)+(milho_adubacaoorganicaestercoavicola*c_n2o_estercoavicola)+(milho_adubacaoorganicaoutros*c_n2o_aduboorganicogeral)),"-",(milho_adubacaoorganicacompostoorganico*c_n2o_compostoorganico)+(milho_adubacaoorganicaestercogeral*c_n2o_estercogeral)+(milho_adubacaoorganicaestercoavicola*c_n2o_estercoavicola)+(milho_adubacaoorganicaoutros*c_n2o_aduboorganicogeral))</f>
        <v>0</v>
      </c>
      <c r="H96" s="177"/>
      <c r="I96" s="121">
        <f t="shared" si="2"/>
        <v>0</v>
      </c>
      <c r="J96" s="139"/>
      <c r="R96" s="24"/>
    </row>
    <row r="97" spans="1:10" hidden="1" outlineLevel="1">
      <c r="A97" s="43"/>
      <c r="B97" s="374"/>
      <c r="C97" s="377"/>
      <c r="D97" s="119" t="s">
        <v>258</v>
      </c>
      <c r="E97" s="120" t="s">
        <v>256</v>
      </c>
      <c r="F97" s="126"/>
      <c r="G97" s="122">
        <f>IF(ISERROR(((milho_aplicacaoureia*45)/100+(milho_adubacaonitrogenadasintetica*milho_nadubosintetico)/100+(milho_adubacaoorganicacompostoorganico*c_compostoorganico_teornitrogenio)/100+(milho_adubacaoorganicaestercoavicola*c_estercoavicola_teornitrogenio)/100+(milho_adubacaoorganicaestercogeral*c_estercogeral_teornitrogenio)/100+(milho_adubacaoorganicaoutros*c_aduboorganicogeral_teornitrogenio)/100)*0.3*0.025),"-",((milho_aplicacaoureia*45)/100+(milho_adubacaonitrogenadasintetica*milho_nadubosintetico)/100+(milho_adubacaoorganicacompostoorganico*c_compostoorganico_teornitrogenio)/100+(milho_adubacaoorganicaestercoavicola*c_estercoavicola_teornitrogenio)/100+(milho_adubacaoorganicaestercogeral*c_estercogeral_teornitrogenio)/100+(milho_adubacaoorganicaoutros*c_aduboorganicogeral_teornitrogenio)/100)*0.3*0.025)</f>
        <v>0</v>
      </c>
      <c r="H97" s="177"/>
      <c r="I97" s="121">
        <f t="shared" si="2"/>
        <v>0</v>
      </c>
      <c r="J97" s="139"/>
    </row>
    <row r="98" spans="1:10" hidden="1" outlineLevel="1">
      <c r="A98" s="43"/>
      <c r="B98" s="374"/>
      <c r="C98" s="377"/>
      <c r="D98" s="119" t="s">
        <v>437</v>
      </c>
      <c r="E98" s="120" t="s">
        <v>256</v>
      </c>
      <c r="F98" s="126"/>
      <c r="G98" s="122">
        <f>IF(ISERROR(((((milho_aplicacaoureia*45)/100+(milho_adubacaonitrogenadasintetica*milho_nadubosintetico)/100)*0.1)+(((milho_adubacaoorganicacompostoorganico*c_compostoorganico_teornitrogenio)/100+(milho_adubacaoorganicaestercoavicola*c_estercoavicola_teornitrogenio)/100+(milho_adubacaoorganicaestercogeral*c_estercogeral_teornitrogenio)/100+(milho_adubacaoorganicaoutros*c_aduboorganicogeral_teornitrogenio)/100)*0.2))*0.01),"-",((((milho_aplicacaoureia*45)/100+(milho_adubacaonitrogenadasintetica*milho_nadubosintetico)/100)*0.1)+(((milho_adubacaoorganicacompostoorganico*c_compostoorganico_teornitrogenio)/100+(milho_adubacaoorganicaestercoavicola*c_estercoavicola_teornitrogenio)/100+(milho_adubacaoorganicaestercogeral*c_estercogeral_teornitrogenio)/100+(milho_adubacaoorganicaoutros*c_aduboorganicogeral_teornitrogenio)/100)*0.2))*0.01)</f>
        <v>0</v>
      </c>
      <c r="H98" s="177"/>
      <c r="I98" s="121">
        <f t="shared" si="2"/>
        <v>0</v>
      </c>
      <c r="J98" s="139"/>
    </row>
    <row r="99" spans="1:10" hidden="1" outlineLevel="1">
      <c r="A99" s="43"/>
      <c r="B99" s="374"/>
      <c r="C99" s="377"/>
      <c r="D99" s="119" t="s">
        <v>363</v>
      </c>
      <c r="E99" s="120" t="s">
        <v>225</v>
      </c>
      <c r="F99" s="126"/>
      <c r="G99" s="122">
        <f>IF(ISERROR(milho_areaqueimaresiduos*milho_produtividademedia*c_queimaresiduomilho_n2o),"-",milho_areaqueimaresiduos*milho_produtividademedia*c_queimaresiduomilho_n2o)</f>
        <v>0</v>
      </c>
      <c r="H99" s="178">
        <f>IF(ISERROR(milho_areaqueimaresiduos*milho_produtividademedia*c_queimaresiduomilho_ch4),"-",milho_areaqueimaresiduos*milho_produtividademedia*c_queimaresiduomilho_ch4)</f>
        <v>0</v>
      </c>
      <c r="I99" s="121">
        <f t="shared" si="2"/>
        <v>0</v>
      </c>
      <c r="J99" s="139"/>
    </row>
    <row r="100" spans="1:10" hidden="1" outlineLevel="1">
      <c r="A100" s="43"/>
      <c r="B100" s="374"/>
      <c r="C100" s="377"/>
      <c r="D100" s="119" t="s">
        <v>362</v>
      </c>
      <c r="E100" s="120" t="s">
        <v>225</v>
      </c>
      <c r="F100" s="126"/>
      <c r="G100" s="122">
        <f>IF(ISERROR((milho_produtividademedia*milho_areacultivada*c_residuomilho_n2o)+(milho_adubacaoverdegraminea*c_residuoadubacaoverdegraminea_n2o)+(milho_adubacaoverdeleguminosa*c_residuoadubacaoverdeleguminosa_n2o)+(milho_adubacaoverdeoutros*c_residuoadubacaoverdeoutros_n2o)),"-",(milho_produtividademedia*milho_areacultivada*c_residuomilho_n2o)+(milho_adubacaoverdegraminea*c_residuoadubacaoverdegraminea_n2o)+(milho_adubacaoverdeleguminosa*c_residuoadubacaoverdeleguminosa_n2o)+(milho_adubacaoverdeoutros*c_residuoadubacaoverdeoutros_n2o))</f>
        <v>0</v>
      </c>
      <c r="H100" s="177"/>
      <c r="I100" s="121">
        <f t="shared" si="2"/>
        <v>0</v>
      </c>
      <c r="J100" s="139"/>
    </row>
    <row r="101" spans="1:10" hidden="1" outlineLevel="1">
      <c r="A101" s="43"/>
      <c r="B101" s="374"/>
      <c r="C101" s="378"/>
      <c r="D101" s="128" t="s">
        <v>257</v>
      </c>
      <c r="E101" s="120" t="s">
        <v>225</v>
      </c>
      <c r="F101" s="121">
        <f>IF(ISERROR(milho_cultivosoloorganico*c_co2eq_cultivosolosorganicos),"-",milho_cultivosoloorganico*c_co2eq_cultivosolosorganicos)</f>
        <v>0</v>
      </c>
      <c r="G101" s="122">
        <f>IF(ISERROR(milho_cultivosoloorganico*c_n2o_perdanitrogenio),"-",milho_cultivosoloorganico*c_n2o_perdanitrogenio)</f>
        <v>0</v>
      </c>
      <c r="H101" s="177"/>
      <c r="I101" s="121">
        <f t="shared" si="2"/>
        <v>0</v>
      </c>
      <c r="J101" s="139"/>
    </row>
    <row r="102" spans="1:10" hidden="1" outlineLevel="1">
      <c r="A102" s="43"/>
      <c r="B102" s="375"/>
      <c r="C102" s="129" t="s">
        <v>106</v>
      </c>
      <c r="D102" s="119" t="s">
        <v>93</v>
      </c>
      <c r="E102" s="120" t="s">
        <v>225</v>
      </c>
      <c r="F102" s="121">
        <f>IF(ISERROR(IF(milho_tipoconsumocombustivel="Quantidade consumida",(milho_consumodiesel*(mistura_diesel_milho/100))*c_mecanizacao_co2,IF(milho_tipoconsumocombustivel="Operações mecanizadas",SUM(IF(milho_operacaomecanizada_adubacaodecobertura="Sim",c_horamaquina_milho_adubacaodecobertura*milho_operacaomecanizada_adubacaodecobertura_repeticoes,0),IF(milho_operacaomecanizada_aplicacaoherbicida="Sim",c_horamaquina_milho_aplicacaoherbicida*milho_operacaomecanizada_aplicacaoherbicida_repeticoes,0),IF(milho_operacaomecanizada_aplicacaoinseticida="Sim",c_horamaquina_milho_aplicacaoinseticida*milho_operacaomecanizada_aplicacaoinseticida_repeticoes,0),IF(milho_operacaomecanizada_calagem="Sim",c_horamaquina_milho_calagem*milho_operacaomecanizada_calagem_repeticoes,0),IF(milho_operacaomecanizada_colheita="Sim",c_horamaquina_milho_colheita*milho_operacaomecanizada_colheita_repeticoes,0),IF(milho_operacaomecanizada_gradagemaradora="Sim",c_horamaquina_milho_gradagemaradora*milho_operacaomecanizada_gradagemaradora_repeticoes,0),IF(milho_operacaomecanizada_gradagemniveladora="Sim",c_horamaquina_milho_gradagemniveladora*milho_operacaomecanizada_gradagemniveladora_repeticoes,0),IF(milho_operacaomecanizada_plantiocomadubacao="Sim",c_horamaquina_milho_plantiocomadubacao*milho_operacaomecanizada_plantiocomadubacao_repeticoes,0),IF(milho_operacaomecanizada_transporteinternoparacolheita="Sim",c_horamaquina_milho_transporteinternoparacolheita*milho_operacaomecanizada_transporteinternoparacolheita_repeticoes,0),IF(milho_operacaomecanizada_transporteinternoparaplantio="Sim",c_horamaquina_milho_transporteinternoparaplantio*milho_operacaomecanizada_transporteinternoparaplantio_repeticoes,0))*c_mecanizacao_co2*20*(mistura_diesel_milho/100)*milho_areacultivada,0))),"-",IF(milho_tipoconsumocombustivel="Quantidade consumida",(milho_consumodiesel*(mistura_diesel_milho/100))*c_mecanizacao_co2,IF(milho_tipoconsumocombustivel="Operações mecanizadas",SUM(IF(milho_operacaomecanizada_adubacaodecobertura="Sim",c_horamaquina_milho_adubacaodecobertura*milho_operacaomecanizada_adubacaodecobertura_repeticoes,0),IF(milho_operacaomecanizada_aplicacaoherbicida="Sim",c_horamaquina_milho_aplicacaoherbicida*milho_operacaomecanizada_aplicacaoherbicida_repeticoes,0),IF(milho_operacaomecanizada_aplicacaoinseticida="Sim",c_horamaquina_milho_aplicacaoinseticida*milho_operacaomecanizada_aplicacaoinseticida_repeticoes,0),IF(milho_operacaomecanizada_calagem="Sim",c_horamaquina_milho_calagem*milho_operacaomecanizada_calagem_repeticoes,0),IF(milho_operacaomecanizada_colheita="Sim",c_horamaquina_milho_colheita*milho_operacaomecanizada_colheita_repeticoes,0),IF(milho_operacaomecanizada_gradagemaradora="Sim",c_horamaquina_milho_gradagemaradora*milho_operacaomecanizada_gradagemaradora_repeticoes,0),IF(milho_operacaomecanizada_gradagemniveladora="Sim",c_horamaquina_milho_gradagemniveladora*milho_operacaomecanizada_gradagemniveladora_repeticoes,0),IF(milho_operacaomecanizada_plantiocomadubacao="Sim",c_horamaquina_milho_plantiocomadubacao*milho_operacaomecanizada_plantiocomadubacao_repeticoes,0),IF(milho_operacaomecanizada_transporteinternoparacolheita="Sim",c_horamaquina_milho_transporteinternoparacolheita*milho_operacaomecanizada_transporteinternoparacolheita_repeticoes,0),IF(milho_operacaomecanizada_transporteinternoparaplantio="Sim",c_horamaquina_milho_transporteinternoparaplantio*milho_operacaomecanizada_transporteinternoparaplantio_repeticoes,0))*c_mecanizacao_co2*20*(mistura_diesel_milho/100)*milho_areacultivada,0)))</f>
        <v>0</v>
      </c>
      <c r="G102" s="122">
        <f>IF(ISERROR(IF(milho_tipoconsumocombustivel="Quantidade consumida",(milho_consumodiesel*(mistura_diesel_milho/100))*c_mecanizacao_n2o,IF(milho_tipoconsumocombustivel="Operações mecanizadas",SUM(IF(milho_operacaomecanizada_adubacaodecobertura="Sim",c_horamaquina_milho_adubacaodecobertura*milho_operacaomecanizada_adubacaodecobertura_repeticoes,0),IF(milho_operacaomecanizada_aplicacaoherbicida="Sim",c_horamaquina_milho_aplicacaoherbicida*milho_operacaomecanizada_aplicacaoherbicida_repeticoes,0),IF(milho_operacaomecanizada_aplicacaoinseticida="Sim",c_horamaquina_milho_aplicacaoinseticida*milho_operacaomecanizada_aplicacaoinseticida_repeticoes,0),IF(milho_operacaomecanizada_calagem="Sim",c_horamaquina_milho_calagem*milho_operacaomecanizada_calagem_repeticoes,0),IF(milho_operacaomecanizada_colheita="Sim",c_horamaquina_milho_colheita*milho_operacaomecanizada_colheita_repeticoes,0),IF(milho_operacaomecanizada_gradagemaradora="Sim",c_horamaquina_milho_gradagemaradora*milho_operacaomecanizada_gradagemaradora_repeticoes,0),IF(milho_operacaomecanizada_gradagemniveladora="Sim",c_horamaquina_milho_gradagemniveladora*milho_operacaomecanizada_gradagemniveladora_repeticoes,0),IF(milho_operacaomecanizada_plantiocomadubacao="Sim",c_horamaquina_milho_plantiocomadubacao*milho_operacaomecanizada_plantiocomadubacao_repeticoes,0),IF(milho_operacaomecanizada_transporteinternoparacolheita="Sim",c_horamaquina_milho_transporteinternoparacolheita*milho_operacaomecanizada_transporteinternoparacolheita_repeticoes,0),IF(milho_operacaomecanizada_transporteinternoparaplantio="Sim",c_horamaquina_milho_transporteinternoparaplantio*milho_operacaomecanizada_transporteinternoparaplantio_repeticoes,0))*c_mecanizacao_n2o*20*(mistura_diesel_milho/100)*milho_areacultivada,0))),"-",IF(milho_tipoconsumocombustivel="Quantidade consumida",(milho_consumodiesel*(mistura_diesel_milho/100))*c_mecanizacao_n2o,IF(milho_tipoconsumocombustivel="Operações mecanizadas",SUM(IF(milho_operacaomecanizada_adubacaodecobertura="Sim",c_horamaquina_milho_adubacaodecobertura*milho_operacaomecanizada_adubacaodecobertura_repeticoes,0),IF(milho_operacaomecanizada_aplicacaoherbicida="Sim",c_horamaquina_milho_aplicacaoherbicida*milho_operacaomecanizada_aplicacaoherbicida_repeticoes,0),IF(milho_operacaomecanizada_aplicacaoinseticida="Sim",c_horamaquina_milho_aplicacaoinseticida*milho_operacaomecanizada_aplicacaoinseticida_repeticoes,0),IF(milho_operacaomecanizada_calagem="Sim",c_horamaquina_milho_calagem*milho_operacaomecanizada_calagem_repeticoes,0),IF(milho_operacaomecanizada_colheita="Sim",c_horamaquina_milho_colheita*milho_operacaomecanizada_colheita_repeticoes,0),IF(milho_operacaomecanizada_gradagemaradora="Sim",c_horamaquina_milho_gradagemaradora*milho_operacaomecanizada_gradagemaradora_repeticoes,0),IF(milho_operacaomecanizada_gradagemniveladora="Sim",c_horamaquina_milho_gradagemniveladora*milho_operacaomecanizada_gradagemniveladora_repeticoes,0),IF(milho_operacaomecanizada_plantiocomadubacao="Sim",c_horamaquina_milho_plantiocomadubacao*milho_operacaomecanizada_plantiocomadubacao_repeticoes,0),IF(milho_operacaomecanizada_transporteinternoparacolheita="Sim",c_horamaquina_milho_transporteinternoparacolheita*milho_operacaomecanizada_transporteinternoparacolheita_repeticoes,0),IF(milho_operacaomecanizada_transporteinternoparaplantio="Sim",c_horamaquina_milho_transporteinternoparaplantio*milho_operacaomecanizada_transporteinternoparaplantio_repeticoes,0))*c_mecanizacao_n2o*20*(mistura_diesel_milho/100)*milho_areacultivada,0)))</f>
        <v>0</v>
      </c>
      <c r="H102" s="178">
        <f>IF(ISERROR(IF(milho_tipoconsumocombustivel="Quantidade consumida",(milho_consumodiesel*(mistura_diesel_milho/100))*c_mecanizacao_ch4,IF(milho_tipoconsumocombustivel="Operações mecanizadas",SUM(IF(milho_operacaomecanizada_adubacaodecobertura="Sim",c_horamaquina_milho_adubacaodecobertura*milho_operacaomecanizada_adubacaodecobertura_repeticoes,0),IF(milho_operacaomecanizada_aplicacaoherbicida="Sim",c_horamaquina_milho_aplicacaoherbicida*milho_operacaomecanizada_aplicacaoherbicida_repeticoes,0),IF(milho_operacaomecanizada_aplicacaoinseticida="Sim",c_horamaquina_milho_aplicacaoinseticida*milho_operacaomecanizada_aplicacaoinseticida_repeticoes,0),IF(milho_operacaomecanizada_calagem="Sim",c_horamaquina_milho_calagem*milho_operacaomecanizada_calagem_repeticoes,0),IF(milho_operacaomecanizada_colheita="Sim",c_horamaquina_milho_colheita*milho_operacaomecanizada_colheita_repeticoes,0),IF(milho_operacaomecanizada_gradagemaradora="Sim",c_horamaquina_milho_gradagemaradora*milho_operacaomecanizada_gradagemaradora_repeticoes,0),IF(milho_operacaomecanizada_gradagemniveladora="Sim",c_horamaquina_milho_gradagemniveladora*milho_operacaomecanizada_gradagemniveladora_repeticoes,0),IF(milho_operacaomecanizada_plantiocomadubacao="Sim",c_horamaquina_milho_plantiocomadubacao*milho_operacaomecanizada_plantiocomadubacao_repeticoes,0),IF(milho_operacaomecanizada_transporteinternoparacolheita="Sim",c_horamaquina_milho_transporteinternoparacolheita*milho_operacaomecanizada_transporteinternoparacolheita_repeticoes,0),IF(milho_operacaomecanizada_transporteinternoparaplantio="Sim",c_horamaquina_milho_transporteinternoparaplantio*milho_operacaomecanizada_transporteinternoparaplantio_repeticoes,0))*c_mecanizacao_ch4*20*(mistura_diesel_milho/100)*milho_areacultivada,0))),"-",IF(milho_tipoconsumocombustivel="Quantidade consumida",(milho_consumodiesel*(mistura_diesel_milho/100))*c_mecanizacao_ch4,IF(milho_tipoconsumocombustivel="Operações mecanizadas",SUM(IF(milho_operacaomecanizada_adubacaodecobertura="Sim",c_horamaquina_milho_adubacaodecobertura*milho_operacaomecanizada_adubacaodecobertura_repeticoes,0),IF(milho_operacaomecanizada_aplicacaoherbicida="Sim",c_horamaquina_milho_aplicacaoherbicida*milho_operacaomecanizada_aplicacaoherbicida_repeticoes,0),IF(milho_operacaomecanizada_aplicacaoinseticida="Sim",c_horamaquina_milho_aplicacaoinseticida*milho_operacaomecanizada_aplicacaoinseticida_repeticoes,0),IF(milho_operacaomecanizada_calagem="Sim",c_horamaquina_milho_calagem*milho_operacaomecanizada_calagem_repeticoes,0),IF(milho_operacaomecanizada_colheita="Sim",c_horamaquina_milho_colheita*milho_operacaomecanizada_colheita_repeticoes,0),IF(milho_operacaomecanizada_gradagemaradora="Sim",c_horamaquina_milho_gradagemaradora*milho_operacaomecanizada_gradagemaradora_repeticoes,0),IF(milho_operacaomecanizada_gradagemniveladora="Sim",c_horamaquina_milho_gradagemniveladora*milho_operacaomecanizada_gradagemniveladora_repeticoes,0),IF(milho_operacaomecanizada_plantiocomadubacao="Sim",c_horamaquina_milho_plantiocomadubacao*milho_operacaomecanizada_plantiocomadubacao_repeticoes,0),IF(milho_operacaomecanizada_transporteinternoparacolheita="Sim",c_horamaquina_milho_transporteinternoparacolheita*milho_operacaomecanizada_transporteinternoparacolheita_repeticoes,0),IF(milho_operacaomecanizada_transporteinternoparaplantio="Sim",c_horamaquina_milho_transporteinternoparaplantio*milho_operacaomecanizada_transporteinternoparaplantio_repeticoes,0))*c_mecanizacao_ch4*20*(mistura_diesel_milho/100)*milho_areacultivada,0)))</f>
        <v>0</v>
      </c>
      <c r="I102" s="121">
        <f t="shared" si="2"/>
        <v>0</v>
      </c>
      <c r="J102" s="139"/>
    </row>
    <row r="103" spans="1:10" hidden="1" outlineLevel="1">
      <c r="A103" s="43"/>
      <c r="B103" s="130" t="s">
        <v>151</v>
      </c>
      <c r="C103" s="130" t="s">
        <v>213</v>
      </c>
      <c r="D103" s="130" t="s">
        <v>99</v>
      </c>
      <c r="E103" s="131" t="s">
        <v>225</v>
      </c>
      <c r="F103" s="132">
        <f>IF(ISERROR((c_emissaoexterna_fungicida*milho_aplicacaofungicida)+(c_emissaoexterna_herbicida*milho_aplicacaoherbicida)+(c_emissaoexterna_inseticida*milho_aplicacaoinseticida)),"-",(c_emissaoexterna_fungicida*milho_aplicacaofungicida)+(c_emissaoexterna_herbicida*milho_aplicacaoherbicida)+(c_emissaoexterna_inseticida*milho_aplicacaoinseticida))</f>
        <v>0</v>
      </c>
      <c r="G103" s="133"/>
      <c r="H103" s="179"/>
      <c r="I103" s="132">
        <f t="shared" si="2"/>
        <v>0</v>
      </c>
      <c r="J103" s="139"/>
    </row>
    <row r="104" spans="1:10" hidden="1" outlineLevel="1">
      <c r="A104" s="43"/>
      <c r="B104" s="380" t="s">
        <v>260</v>
      </c>
      <c r="C104" s="381"/>
      <c r="D104" s="135" t="s">
        <v>51</v>
      </c>
      <c r="E104" s="136" t="s">
        <v>225</v>
      </c>
      <c r="F104" s="137">
        <f>IF(ISERROR(IF(milho_tempoadocaosistema="Menor ou igual a 20 anos",milho_areacultivada*(c_mudancausosolo_milho*-1),0)),"-",IF(milho_tempoadocaosistema="Menor ou igual a 20 anos",milho_areacultivada*(c_mudancausosolo_milho*-1),0))</f>
        <v>0</v>
      </c>
      <c r="G104" s="138"/>
      <c r="H104" s="180"/>
      <c r="I104" s="140">
        <f t="shared" si="2"/>
        <v>0</v>
      </c>
      <c r="J104" s="141">
        <f>IF(ISERROR(IF(F104&lt;0,F104*-1,0)+IF(G104*pag_n2o&lt;0,G104*pag_n2o*-1,0)+IF(H104*pag_ch4&lt;0,H104*pag_ch4*-1,0)),"-",IF(F104&lt;0,F104*-1,0)+IF(G104*pag_n2o&lt;0,G104*pag_n2o*-1,0)+IF(H104*pag_ch4&lt;0,H104*pag_ch4*-1,0))</f>
        <v>0</v>
      </c>
    </row>
    <row r="105" spans="1:10" ht="13.5" hidden="1" outlineLevel="1" thickBot="1">
      <c r="A105" s="43"/>
      <c r="B105" s="382"/>
      <c r="C105" s="383"/>
      <c r="D105" s="135" t="s">
        <v>440</v>
      </c>
      <c r="E105" s="142" t="s">
        <v>225</v>
      </c>
      <c r="F105" s="143">
        <f>IF(ISERROR(IF(milho_tipoconsumocombustivel="Quantidade consumida",(milho_consumodiesel*(1-(mistura_diesel_milho/100)))*c_emissao_biodiesel,IF(milho_tipoconsumocombustivel="Operações mecanizadas",SUM(IF(milho_operacaomecanizada_adubacaodecobertura="Sim",c_horamaquina_milho_adubacaodecobertura*milho_operacaomecanizada_adubacaodecobertura_repeticoes,0),IF(milho_operacaomecanizada_aplicacaoherbicida="Sim",c_horamaquina_milho_aplicacaoherbicida*milho_operacaomecanizada_aplicacaoherbicida_repeticoes,0),IF(milho_operacaomecanizada_aplicacaoinseticida="Sim",c_horamaquina_milho_aplicacaoinseticida*milho_operacaomecanizada_aplicacaoinseticida_repeticoes,0),IF(milho_operacaomecanizada_calagem="Sim",c_horamaquina_milho_calagem*milho_operacaomecanizada_calagem_repeticoes,0),IF(milho_operacaomecanizada_colheita="Sim",c_horamaquina_milho_colheita*milho_operacaomecanizada_colheita_repeticoes,0),IF(milho_operacaomecanizada_gradagemaradora="Sim",c_horamaquina_milho_gradagemaradora*milho_operacaomecanizada_gradagemaradora_repeticoes,0),IF(milho_operacaomecanizada_gradagemniveladora="Sim",c_horamaquina_milho_gradagemniveladora*milho_operacaomecanizada_gradagemniveladora_repeticoes,0),IF(milho_operacaomecanizada_plantiocomadubacao="Sim",c_horamaquina_milho_plantiocomadubacao*milho_operacaomecanizada_plantiocomadubacao_repeticoes,0),IF(milho_operacaomecanizada_transporteinternoparacolheita="Sim",c_horamaquina_milho_transporteinternoparacolheita*milho_operacaomecanizada_transporteinternoparacolheita_repeticoes,0),IF(milho_operacaomecanizada_transporteinternoparaplantio="Sim",c_horamaquina_milho_transporteinternoparaplantio*milho_operacaomecanizada_transporteinternoparaplantio_repeticoes,0))*c_emissao_biodiesel*20*(1-(mistura_diesel_milho/100))*milho_areacultivada,0))),"-",IF(milho_tipoconsumocombustivel="Quantidade consumida",(milho_consumodiesel*(1-(mistura_diesel_milho/100)))*c_emissao_biodiesel,IF(milho_tipoconsumocombustivel="Operações mecanizadas",SUM(IF(milho_operacaomecanizada_adubacaodecobertura="Sim",c_horamaquina_milho_adubacaodecobertura*milho_operacaomecanizada_adubacaodecobertura_repeticoes,0),IF(milho_operacaomecanizada_aplicacaoherbicida="Sim",c_horamaquina_milho_aplicacaoherbicida*milho_operacaomecanizada_aplicacaoherbicida_repeticoes,0),IF(milho_operacaomecanizada_aplicacaoinseticida="Sim",c_horamaquina_milho_aplicacaoinseticida*milho_operacaomecanizada_aplicacaoinseticida_repeticoes,0),IF(milho_operacaomecanizada_calagem="Sim",c_horamaquina_milho_calagem*milho_operacaomecanizada_calagem_repeticoes,0),IF(milho_operacaomecanizada_colheita="Sim",c_horamaquina_milho_colheita*milho_operacaomecanizada_colheita_repeticoes,0),IF(milho_operacaomecanizada_gradagemaradora="Sim",c_horamaquina_milho_gradagemaradora*milho_operacaomecanizada_gradagemaradora_repeticoes,0),IF(milho_operacaomecanizada_gradagemniveladora="Sim",c_horamaquina_milho_gradagemniveladora*milho_operacaomecanizada_gradagemniveladora_repeticoes,0),IF(milho_operacaomecanizada_plantiocomadubacao="Sim",c_horamaquina_milho_plantiocomadubacao*milho_operacaomecanizada_plantiocomadubacao_repeticoes,0),IF(milho_operacaomecanizada_transporteinternoparacolheita="Sim",c_horamaquina_milho_transporteinternoparacolheita*milho_operacaomecanizada_transporteinternoparacolheita_repeticoes,0),IF(milho_operacaomecanizada_transporteinternoparaplantio="Sim",c_horamaquina_milho_transporteinternoparaplantio*milho_operacaomecanizada_transporteinternoparaplantio_repeticoes,0))*c_emissao_biodiesel*20*(1-(mistura_diesel_milho/100))*milho_areacultivada,0)))</f>
        <v>0</v>
      </c>
      <c r="G105" s="144"/>
      <c r="H105" s="181"/>
      <c r="I105" s="182">
        <f t="shared" si="2"/>
        <v>0</v>
      </c>
      <c r="J105" s="168"/>
    </row>
    <row r="106" spans="1:10" hidden="1" outlineLevel="1">
      <c r="A106" s="43"/>
      <c r="B106" s="148"/>
      <c r="C106" s="149"/>
      <c r="D106" s="149"/>
      <c r="E106" s="150" t="s">
        <v>438</v>
      </c>
      <c r="F106" s="151">
        <f>IF(ISERROR(SUMIF(F93:F105,"&gt;=0")),"-",SUMIF(F93:F105,"&gt;=0"))</f>
        <v>0</v>
      </c>
      <c r="G106" s="152">
        <f t="shared" ref="G106" si="3">IF(ISERROR(SUMIF(G93:G105,"&gt;=0")),"-",SUMIF(G93:G105,"&gt;=0"))</f>
        <v>0</v>
      </c>
      <c r="H106" s="183">
        <f>IF(ISERROR(SUMIF(H93:H105,"&gt;=0")),"-",SUMIF(H93:H105,"&gt;=0"))</f>
        <v>0</v>
      </c>
      <c r="I106" s="184">
        <f>IF(ISERROR(SUMIF(I93:I105,"&gt;=0")),"-",SUMIF(I93:I105,"&gt;=0"))</f>
        <v>0</v>
      </c>
      <c r="J106" s="185">
        <f>IF(ISERROR(SUMIF(J93:J105,"&gt;=0")),"-",SUMIF(J93:J105,"&gt;=0"))</f>
        <v>0</v>
      </c>
    </row>
    <row r="107" spans="1:10" ht="15.75" hidden="1" outlineLevel="1">
      <c r="A107" s="43"/>
      <c r="B107" s="155"/>
      <c r="C107" s="156"/>
      <c r="D107" s="156"/>
      <c r="E107" s="157" t="s">
        <v>455</v>
      </c>
      <c r="F107" s="158">
        <f>IF(ISERROR(F106),"-",F106)</f>
        <v>0</v>
      </c>
      <c r="G107" s="159">
        <f>IF(ISERROR(G106*pag_n2o),"-",G106*pag_n2o)</f>
        <v>0</v>
      </c>
      <c r="H107" s="186">
        <f>IF(ISERROR(H106*pag_ch4),"-",H106*pag_ch4)</f>
        <v>0</v>
      </c>
      <c r="I107" s="187"/>
      <c r="J107" s="124"/>
    </row>
    <row r="108" spans="1:10" ht="13.5" hidden="1" outlineLevel="1" thickBot="1">
      <c r="A108" s="43"/>
      <c r="B108" s="163"/>
      <c r="C108" s="164"/>
      <c r="D108" s="164"/>
      <c r="E108" s="165" t="s">
        <v>443</v>
      </c>
      <c r="F108" s="166">
        <f>IF(ISERROR(SUMIF(F93:F105,"&lt;0")*-1),"-",SUMIF(F93:F105,"&lt;0")*-1)</f>
        <v>0</v>
      </c>
      <c r="G108" s="167"/>
      <c r="H108" s="188"/>
      <c r="I108" s="169"/>
      <c r="J108" s="189"/>
    </row>
    <row r="109" spans="1:10" hidden="1" outlineLevel="1">
      <c r="A109" s="43"/>
      <c r="B109" s="43"/>
      <c r="C109" s="43"/>
      <c r="D109" s="43"/>
      <c r="E109" s="43"/>
      <c r="F109" s="43"/>
      <c r="G109" s="43"/>
      <c r="H109" s="43"/>
      <c r="I109" s="43"/>
      <c r="J109" s="43"/>
    </row>
    <row r="110" spans="1:10" hidden="1" outlineLevel="1">
      <c r="A110" s="43"/>
      <c r="B110" s="367" t="s">
        <v>524</v>
      </c>
      <c r="C110" s="367"/>
      <c r="D110" s="367"/>
      <c r="E110" s="43"/>
      <c r="F110" s="43"/>
      <c r="G110" s="43"/>
      <c r="H110" s="43"/>
      <c r="I110" s="43"/>
      <c r="J110" s="43"/>
    </row>
    <row r="111" spans="1:10" ht="15.75" hidden="1" outlineLevel="1">
      <c r="A111" s="43"/>
      <c r="B111" s="171"/>
      <c r="C111" s="172" t="s">
        <v>525</v>
      </c>
      <c r="D111" s="172" t="s">
        <v>526</v>
      </c>
      <c r="E111" s="43"/>
      <c r="F111" s="43"/>
      <c r="G111" s="43"/>
      <c r="H111" s="43"/>
      <c r="I111" s="43"/>
      <c r="J111" s="43"/>
    </row>
    <row r="112" spans="1:10" hidden="1" outlineLevel="1">
      <c r="A112" s="43"/>
      <c r="B112" s="173" t="s">
        <v>109</v>
      </c>
      <c r="C112" s="174">
        <f>IF(ISERROR(milho_areaqueimaresiduos*milho_produtividademedia*c_queimaresiduomilho_co),"-",milho_areaqueimaresiduos*milho_produtividademedia*c_queimaresiduomilho_co)</f>
        <v>0</v>
      </c>
      <c r="D112" s="174">
        <f>IF(ISERROR(C112*conversor_co_co2),"-",C112*conversor_co_co2)</f>
        <v>0</v>
      </c>
      <c r="E112" s="43"/>
      <c r="F112" s="43"/>
      <c r="G112" s="43"/>
      <c r="H112" s="43"/>
      <c r="I112" s="43"/>
      <c r="J112" s="43"/>
    </row>
    <row r="113" spans="1:18" ht="15.75" hidden="1" outlineLevel="1">
      <c r="A113" s="43"/>
      <c r="B113" s="173" t="s">
        <v>253</v>
      </c>
      <c r="C113" s="174">
        <f>IF(ISERROR(milho_areaqueimaresiduos*milho_produtividademedia*c_queimaresiduomilho_nox),"-",milho_areaqueimaresiduos*milho_produtividademedia*c_queimaresiduomilho_nox)</f>
        <v>0</v>
      </c>
      <c r="D113" s="174">
        <f>IF(ISERROR(conversor_no2_n2o*C113*pag_n2o),"-",conversor_no2_n2o*C113*pag_n2o)</f>
        <v>0</v>
      </c>
      <c r="E113" s="43"/>
      <c r="F113" s="43"/>
      <c r="G113" s="43"/>
      <c r="H113" s="43"/>
      <c r="I113" s="43"/>
      <c r="J113" s="43"/>
    </row>
    <row r="114" spans="1:18">
      <c r="A114" s="43"/>
      <c r="E114" s="43"/>
      <c r="F114" s="43"/>
      <c r="G114" s="43"/>
      <c r="H114" s="43"/>
      <c r="I114" s="43"/>
      <c r="J114" s="43"/>
    </row>
    <row r="115" spans="1:18" collapsed="1">
      <c r="A115" s="100"/>
      <c r="B115" s="368" t="s">
        <v>17</v>
      </c>
      <c r="C115" s="368"/>
      <c r="D115" s="368"/>
      <c r="E115" s="368"/>
      <c r="F115" s="368"/>
      <c r="G115" s="368"/>
      <c r="H115" s="368"/>
      <c r="I115" s="368"/>
      <c r="J115" s="369"/>
    </row>
    <row r="116" spans="1:18" hidden="1" outlineLevel="1"/>
    <row r="117" spans="1:18" hidden="1" outlineLevel="1">
      <c r="A117" s="43"/>
      <c r="B117" s="379" t="s">
        <v>445</v>
      </c>
      <c r="C117" s="379"/>
      <c r="D117" s="379"/>
      <c r="E117" s="379"/>
      <c r="F117" s="43"/>
      <c r="G117" s="43"/>
      <c r="H117" s="43"/>
      <c r="I117" s="43"/>
      <c r="J117" s="24"/>
    </row>
    <row r="118" spans="1:18" ht="28.5" hidden="1" outlineLevel="1">
      <c r="A118" s="43"/>
      <c r="B118" s="175"/>
      <c r="C118" s="102" t="s">
        <v>386</v>
      </c>
      <c r="D118" s="102" t="s">
        <v>385</v>
      </c>
      <c r="E118" s="102" t="s">
        <v>423</v>
      </c>
      <c r="F118" s="43"/>
      <c r="G118" s="24"/>
      <c r="H118" s="24"/>
      <c r="I118" s="24"/>
      <c r="J118" s="24"/>
      <c r="Q118" s="24"/>
      <c r="R118" s="24"/>
    </row>
    <row r="119" spans="1:18" hidden="1" outlineLevel="1">
      <c r="A119" s="43"/>
      <c r="B119" s="103" t="s">
        <v>105</v>
      </c>
      <c r="C119" s="104">
        <f>IF(ISERROR(SUM(I128:I137)),"-",SUM(I128:I137))</f>
        <v>0</v>
      </c>
      <c r="D119" s="104" t="str">
        <f>IF(ISERROR(C119/algodao_areacultivada),"-",C119/algodao_areacultivada)</f>
        <v>-</v>
      </c>
      <c r="E119" s="104" t="str">
        <f>IF(ISERROR(C119/(algodao_areacultivada*algodao_produtividademedia)),"-",C119/(algodao_areacultivada*algodao_produtividademedia))</f>
        <v>-</v>
      </c>
      <c r="F119" s="43"/>
      <c r="G119" s="24"/>
      <c r="H119" s="24"/>
      <c r="I119" s="24"/>
      <c r="J119" s="24"/>
      <c r="Q119" s="24"/>
      <c r="R119" s="24"/>
    </row>
    <row r="120" spans="1:18" hidden="1" outlineLevel="1">
      <c r="A120" s="43"/>
      <c r="B120" s="105" t="s">
        <v>151</v>
      </c>
      <c r="C120" s="106">
        <f>IF(ISERROR(I138),"-",I138)</f>
        <v>0</v>
      </c>
      <c r="D120" s="106" t="str">
        <f>IF(ISERROR(C120/algodao_areacultivada),"-",C120/algodao_areacultivada)</f>
        <v>-</v>
      </c>
      <c r="E120" s="106" t="str">
        <f>IF(ISERROR(C120/(algodao_areacultivada*algodao_produtividademedia)),"-",C120/(algodao_areacultivada*algodao_produtividademedia))</f>
        <v>-</v>
      </c>
      <c r="F120" s="43"/>
      <c r="G120" s="24"/>
      <c r="H120" s="24"/>
      <c r="I120" s="24"/>
      <c r="J120" s="24"/>
      <c r="Q120" s="24"/>
      <c r="R120" s="24"/>
    </row>
    <row r="121" spans="1:18" hidden="1" outlineLevel="1">
      <c r="A121" s="43"/>
      <c r="B121" s="107" t="s">
        <v>173</v>
      </c>
      <c r="C121" s="108">
        <f>IF(ISERROR(SUM(I139:I140)),"-",SUM(I139:I140))</f>
        <v>0</v>
      </c>
      <c r="D121" s="108" t="str">
        <f>IF(ISERROR(C121/algodao_areacultivada),"-",C121/algodao_areacultivada)</f>
        <v>-</v>
      </c>
      <c r="E121" s="108" t="str">
        <f>IF(ISERROR(C121/(algodao_areacultivada*algodao_produtividademedia)),"-",C121/(algodao_areacultivada*algodao_produtividademedia))</f>
        <v>-</v>
      </c>
      <c r="F121" s="43"/>
      <c r="G121" s="24"/>
      <c r="H121" s="24"/>
      <c r="I121" s="24"/>
      <c r="J121" s="24"/>
      <c r="Q121" s="24"/>
      <c r="R121" s="24"/>
    </row>
    <row r="122" spans="1:18" ht="15.75" hidden="1" outlineLevel="1">
      <c r="A122" s="43"/>
      <c r="B122" s="109" t="s">
        <v>422</v>
      </c>
      <c r="C122" s="110">
        <f>IF(ISERROR(J141),"-",J141)</f>
        <v>0</v>
      </c>
      <c r="D122" s="110" t="str">
        <f>IF(ISERROR(C122/algodao_areacultivada),"-",C122/algodao_areacultivada)</f>
        <v>-</v>
      </c>
      <c r="E122" s="110" t="str">
        <f>IF(ISERROR(C122/(algodao_areacultivada*algodao_produtividademedia)),"-",C122/(algodao_areacultivada*algodao_produtividademedia))</f>
        <v>-</v>
      </c>
      <c r="F122" s="43"/>
      <c r="G122" s="24"/>
      <c r="H122" s="24"/>
      <c r="I122" s="24"/>
      <c r="J122" s="24"/>
      <c r="Q122" s="24"/>
      <c r="R122" s="24"/>
    </row>
    <row r="123" spans="1:18" hidden="1" outlineLevel="1">
      <c r="A123" s="43"/>
      <c r="B123" s="111" t="s">
        <v>169</v>
      </c>
      <c r="C123" s="112">
        <f>IF(ISERROR(SUM(C119:C121)-C122),"-",SUM(C119:C121)-C122)</f>
        <v>0</v>
      </c>
      <c r="D123" s="112" t="str">
        <f>IF(ISERROR(C123/algodao_areacultivada),"-",C123/algodao_areacultivada)</f>
        <v>-</v>
      </c>
      <c r="E123" s="112" t="str">
        <f>IF(ISERROR(C123/(algodao_areacultivada*algodao_produtividademedia)),"-",C123/(algodao_areacultivada*algodao_produtividademedia))</f>
        <v>-</v>
      </c>
      <c r="F123" s="43"/>
      <c r="G123" s="24"/>
      <c r="H123" s="24"/>
      <c r="I123" s="24"/>
      <c r="J123" s="24"/>
      <c r="Q123" s="24"/>
      <c r="R123" s="24"/>
    </row>
    <row r="124" spans="1:18" hidden="1" outlineLevel="1">
      <c r="A124" s="43"/>
      <c r="B124" s="43"/>
      <c r="C124" s="43"/>
      <c r="D124" s="43"/>
      <c r="E124" s="43"/>
      <c r="F124" s="43"/>
      <c r="G124" s="24"/>
      <c r="H124" s="24"/>
      <c r="I124" s="24"/>
      <c r="J124" s="24"/>
      <c r="Q124" s="24"/>
      <c r="R124" s="24"/>
    </row>
    <row r="125" spans="1:18" ht="13.5" hidden="1" outlineLevel="1" thickBot="1">
      <c r="A125" s="43"/>
      <c r="B125" s="367" t="s">
        <v>446</v>
      </c>
      <c r="C125" s="367"/>
      <c r="D125" s="367"/>
      <c r="E125" s="367"/>
      <c r="F125" s="367"/>
      <c r="G125" s="367"/>
      <c r="H125" s="367"/>
      <c r="I125" s="367"/>
      <c r="J125" s="367"/>
      <c r="Q125" s="24"/>
      <c r="R125" s="24"/>
    </row>
    <row r="126" spans="1:18" hidden="1" outlineLevel="1">
      <c r="A126" s="43"/>
      <c r="B126" s="113"/>
      <c r="C126" s="114"/>
      <c r="D126" s="114"/>
      <c r="E126" s="114"/>
      <c r="F126" s="370" t="s">
        <v>108</v>
      </c>
      <c r="G126" s="371"/>
      <c r="H126" s="372"/>
      <c r="I126" s="385" t="s">
        <v>456</v>
      </c>
      <c r="J126" s="387" t="s">
        <v>444</v>
      </c>
      <c r="Q126" s="24"/>
      <c r="R126" s="24"/>
    </row>
    <row r="127" spans="1:18" ht="15.75" hidden="1" outlineLevel="1">
      <c r="A127" s="43"/>
      <c r="B127" s="389" t="s">
        <v>259</v>
      </c>
      <c r="C127" s="390"/>
      <c r="D127" s="391"/>
      <c r="E127" s="115" t="s">
        <v>232</v>
      </c>
      <c r="F127" s="116" t="s">
        <v>215</v>
      </c>
      <c r="G127" s="117" t="s">
        <v>217</v>
      </c>
      <c r="H127" s="118" t="s">
        <v>216</v>
      </c>
      <c r="I127" s="386"/>
      <c r="J127" s="388"/>
      <c r="Q127" s="24"/>
      <c r="R127" s="24"/>
    </row>
    <row r="128" spans="1:18" hidden="1" outlineLevel="1">
      <c r="A128" s="43"/>
      <c r="B128" s="373" t="s">
        <v>105</v>
      </c>
      <c r="C128" s="376" t="s">
        <v>168</v>
      </c>
      <c r="D128" s="119" t="s">
        <v>255</v>
      </c>
      <c r="E128" s="120" t="s">
        <v>225</v>
      </c>
      <c r="F128" s="121">
        <f>IF(ISERROR(c_co2_ureia*algodao_aplicacaoureia),"-",c_co2_ureia*algodao_aplicacaoureia)</f>
        <v>0</v>
      </c>
      <c r="G128" s="122">
        <f>IF(ISERROR(c_n2o_fertilizantesintetico*((algodao_aplicacaoureia*45)/100)),"-",c_n2o_fertilizantesintetico*((algodao_aplicacaoureia*45)/100))</f>
        <v>0</v>
      </c>
      <c r="H128" s="123"/>
      <c r="I128" s="121">
        <f t="shared" ref="I128:I140" si="4">IF(ISERROR(IF(F128&gt;=0,F128,0)+IF(G128*pag_n2o&gt;=0,G128*pag_n2o,0)+IF(H128*pag_ch4&gt;=0,H128*pag_ch4,0)),"-",IF(F128&gt;=0,F128,0)+IF(G128*pag_n2o&gt;=0,G128*pag_n2o,0)+IF(H128*pag_ch4&gt;=0,H128*pag_ch4,0))</f>
        <v>0</v>
      </c>
      <c r="J128" s="139"/>
      <c r="Q128" s="24"/>
      <c r="R128" s="24"/>
    </row>
    <row r="129" spans="1:18" hidden="1" outlineLevel="1">
      <c r="A129" s="43"/>
      <c r="B129" s="374"/>
      <c r="C129" s="377"/>
      <c r="D129" s="119" t="s">
        <v>6</v>
      </c>
      <c r="E129" s="120" t="s">
        <v>225</v>
      </c>
      <c r="F129" s="121">
        <f>IF(ISERROR((algodao_calcariocalcitico*c_co2_calcariocalcitico)+(algodao_calcariodolomitico*c_co2_calcariodolomitico)),"-",(algodao_calcariocalcitico*c_co2_calcariocalcitico)+(algodao_calcariodolomitico*c_co2_calcariodolomitico))</f>
        <v>0</v>
      </c>
      <c r="G129" s="125"/>
      <c r="H129" s="123"/>
      <c r="I129" s="121">
        <f t="shared" si="4"/>
        <v>0</v>
      </c>
      <c r="J129" s="139"/>
      <c r="Q129" s="24"/>
      <c r="R129" s="24"/>
    </row>
    <row r="130" spans="1:18" hidden="1" outlineLevel="1">
      <c r="A130" s="43"/>
      <c r="B130" s="374"/>
      <c r="C130" s="377"/>
      <c r="D130" s="119" t="s">
        <v>49</v>
      </c>
      <c r="E130" s="120" t="s">
        <v>243</v>
      </c>
      <c r="F130" s="126"/>
      <c r="G130" s="122">
        <f>IF(ISERROR(c_n2o_fertilizantesintetico*((algodao_adubacaonitrogenadasintetica*algodao_nadubosintetico)/100)),"-",c_n2o_fertilizantesintetico*((algodao_adubacaonitrogenadasintetica*algodao_nadubosintetico)/100))</f>
        <v>0</v>
      </c>
      <c r="H130" s="123"/>
      <c r="I130" s="121">
        <f t="shared" si="4"/>
        <v>0</v>
      </c>
      <c r="J130" s="139"/>
      <c r="Q130" s="24"/>
      <c r="R130" s="24"/>
    </row>
    <row r="131" spans="1:18" hidden="1" outlineLevel="1">
      <c r="A131" s="43"/>
      <c r="B131" s="374"/>
      <c r="C131" s="377"/>
      <c r="D131" s="119" t="s">
        <v>50</v>
      </c>
      <c r="E131" s="120" t="s">
        <v>225</v>
      </c>
      <c r="F131" s="126"/>
      <c r="G131" s="122">
        <f>IF(ISERROR((algodao_adubacaoorganicacompostoorganico*c_n2o_compostoorganico)+(algodao_adubacaoorganicaestercogeral*c_n2o_estercogeral)+(algodao_adubacaoorganicaestercoavicola*c_n2o_estercoavicola)+(algodao_adubacaoorganicaoutros*c_n2o_aduboorganicogeral)),"-",(algodao_adubacaoorganicacompostoorganico*c_n2o_compostoorganico)+(algodao_adubacaoorganicaestercogeral*c_n2o_estercogeral)+(algodao_adubacaoorganicaestercoavicola*c_n2o_estercoavicola)+(algodao_adubacaoorganicaoutros*c_n2o_aduboorganicogeral))</f>
        <v>0</v>
      </c>
      <c r="H131" s="123"/>
      <c r="I131" s="121">
        <f t="shared" si="4"/>
        <v>0</v>
      </c>
      <c r="J131" s="139"/>
      <c r="R131" s="24"/>
    </row>
    <row r="132" spans="1:18" hidden="1" outlineLevel="1">
      <c r="A132" s="43"/>
      <c r="B132" s="374"/>
      <c r="C132" s="377"/>
      <c r="D132" s="119" t="s">
        <v>258</v>
      </c>
      <c r="E132" s="120" t="s">
        <v>256</v>
      </c>
      <c r="F132" s="126"/>
      <c r="G132" s="122">
        <f>IF(ISERROR(((algodao_aplicacaoureia*45)/100+(algodao_adubacaonitrogenadasintetica*algodao_nadubosintetico)/100+(algodao_adubacaoorganicacompostoorganico*c_compostoorganico_teornitrogenio)/100+(algodao_adubacaoorganicaestercoavicola*c_estercoavicola_teornitrogenio)/100+(algodao_adubacaoorganicaestercogeral*c_estercogeral_teornitrogenio)/100+(algodao_adubacaoorganicaoutros*c_aduboorganicogeral_teornitrogenio)/100)*0.3*0.025),"-",((algodao_aplicacaoureia*45)/100+(algodao_adubacaonitrogenadasintetica*algodao_nadubosintetico)/100+(algodao_adubacaoorganicacompostoorganico*c_compostoorganico_teornitrogenio)/100+(algodao_adubacaoorganicaestercoavicola*c_estercoavicola_teornitrogenio)/100+(algodao_adubacaoorganicaestercogeral*c_estercogeral_teornitrogenio)/100+(algodao_adubacaoorganicaoutros*c_aduboorganicogeral_teornitrogenio)/100)*0.3*0.025)</f>
        <v>0</v>
      </c>
      <c r="H132" s="123"/>
      <c r="I132" s="121">
        <f t="shared" si="4"/>
        <v>0</v>
      </c>
      <c r="J132" s="139"/>
    </row>
    <row r="133" spans="1:18" hidden="1" outlineLevel="1">
      <c r="A133" s="43"/>
      <c r="B133" s="374"/>
      <c r="C133" s="377"/>
      <c r="D133" s="119" t="s">
        <v>437</v>
      </c>
      <c r="E133" s="120" t="s">
        <v>256</v>
      </c>
      <c r="F133" s="126"/>
      <c r="G133" s="122">
        <f>IF(ISERROR(((((algodao_aplicacaoureia*45)/100+(algodao_adubacaonitrogenadasintetica*algodao_nadubosintetico)/100)*0.1)+(((algodao_adubacaoorganicacompostoorganico*c_compostoorganico_teornitrogenio)/100+(algodao_adubacaoorganicaestercoavicola*c_estercoavicola_teornitrogenio)/100+(algodao_adubacaoorganicaestercogeral*c_estercogeral_teornitrogenio)/100+(algodao_adubacaoorganicaoutros*c_aduboorganicogeral_teornitrogenio)/100)*0.2))*0.01),"-",((((algodao_aplicacaoureia*45)/100+(algodao_adubacaonitrogenadasintetica*algodao_nadubosintetico)/100)*0.1)+(((algodao_adubacaoorganicacompostoorganico*c_compostoorganico_teornitrogenio)/100+(algodao_adubacaoorganicaestercoavicola*c_estercoavicola_teornitrogenio)/100+(algodao_adubacaoorganicaestercogeral*c_estercogeral_teornitrogenio)/100+(algodao_adubacaoorganicaoutros*c_aduboorganicogeral_teornitrogenio)/100)*0.2))*0.01)</f>
        <v>0</v>
      </c>
      <c r="H133" s="123"/>
      <c r="I133" s="121">
        <f t="shared" si="4"/>
        <v>0</v>
      </c>
      <c r="J133" s="139"/>
    </row>
    <row r="134" spans="1:18" hidden="1" outlineLevel="1">
      <c r="A134" s="43"/>
      <c r="B134" s="374"/>
      <c r="C134" s="377"/>
      <c r="D134" s="119" t="s">
        <v>363</v>
      </c>
      <c r="E134" s="120" t="s">
        <v>225</v>
      </c>
      <c r="F134" s="126"/>
      <c r="G134" s="122">
        <f>IF(ISERROR(algodao_areaqueimaresiduos*algodao_produtividademedia*c_queimaresiduoalgodao_n2o),"-",algodao_areaqueimaresiduos*algodao_produtividademedia*c_queimaresiduoalgodao_n2o)</f>
        <v>0</v>
      </c>
      <c r="H134" s="127">
        <f>IF(ISERROR(algodao_areaqueimaresiduos*algodao_produtividademedia*c_queimaresiduoalgodao_ch4),"-",algodao_areaqueimaresiduos*algodao_produtividademedia*c_queimaresiduoalgodao_ch4)</f>
        <v>0</v>
      </c>
      <c r="I134" s="121">
        <f t="shared" si="4"/>
        <v>0</v>
      </c>
      <c r="J134" s="139"/>
    </row>
    <row r="135" spans="1:18" hidden="1" outlineLevel="1">
      <c r="A135" s="43"/>
      <c r="B135" s="374"/>
      <c r="C135" s="377"/>
      <c r="D135" s="119" t="s">
        <v>362</v>
      </c>
      <c r="E135" s="120" t="s">
        <v>225</v>
      </c>
      <c r="F135" s="126"/>
      <c r="G135" s="122">
        <f>IF(ISERROR((algodao_produtividademedia*algodao_areacultivada*c_residuoalgodao_n2o)+(algodao_adubacaoverdegraminea*c_residuoadubacaoverdegraminea_n2o)+(algodao_adubacaoverdeleguminosa*c_residuoadubacaoverdeleguminosa_n2o)+(algodao_adubacaoverdeoutros*c_residuoadubacaoverdeoutros_n2o)),"-",(algodao_produtividademedia*algodao_areacultivada*c_residuoalgodao_n2o)+(algodao_adubacaoverdegraminea*c_residuoadubacaoverdegraminea_n2o)+(algodao_adubacaoverdeleguminosa*c_residuoadubacaoverdeleguminosa_n2o)+(algodao_adubacaoverdeoutros*c_residuoadubacaoverdeoutros_n2o))</f>
        <v>0</v>
      </c>
      <c r="H135" s="123"/>
      <c r="I135" s="121">
        <f t="shared" si="4"/>
        <v>0</v>
      </c>
      <c r="J135" s="139"/>
    </row>
    <row r="136" spans="1:18" hidden="1" outlineLevel="1">
      <c r="A136" s="43"/>
      <c r="B136" s="374"/>
      <c r="C136" s="378"/>
      <c r="D136" s="128" t="s">
        <v>257</v>
      </c>
      <c r="E136" s="120" t="s">
        <v>225</v>
      </c>
      <c r="F136" s="121">
        <f>IF(ISERROR(algodao_cultivosoloorganico*c_co2eq_cultivosolosorganicos),"-",algodao_cultivosoloorganico*c_co2eq_cultivosolosorganicos)</f>
        <v>0</v>
      </c>
      <c r="G136" s="122">
        <f>IF(ISERROR(algodao_cultivosoloorganico*c_n2o_perdanitrogenio),"-",algodao_cultivosoloorganico*c_n2o_perdanitrogenio)</f>
        <v>0</v>
      </c>
      <c r="H136" s="123"/>
      <c r="I136" s="121">
        <f t="shared" si="4"/>
        <v>0</v>
      </c>
      <c r="J136" s="139"/>
    </row>
    <row r="137" spans="1:18" hidden="1" outlineLevel="1">
      <c r="A137" s="43"/>
      <c r="B137" s="375"/>
      <c r="C137" s="129" t="s">
        <v>106</v>
      </c>
      <c r="D137" s="119" t="s">
        <v>93</v>
      </c>
      <c r="E137" s="120" t="s">
        <v>225</v>
      </c>
      <c r="F137" s="121">
        <f>IF(ISERROR(IF(algodao_tipoconsumocombustivel="Quantidade consumida",(algodao_consumodiesel*(mistura_diesel_algodao/100))*c_mecanizacao_co2,IF(algodao_tipoconsumocombustivel="Operações mecanizadas",SUM(IF(algodao_operacaomecanizada_adubacaodecobertura="Sim",c_horamaquina_algodao_adubacaodecobertura*algodao_operacaomecanizada_adubacaodecobertura_repeticoes,0),IF(algodao_operacaomecanizada_aplicacaodedefensivos="Sim",c_horamaquina_algodao_aplicacaodedefensivos*algodao_operacaomecanizada_aplicacaodedefensivos_repeticoes,0),IF(algodao_operacaomecanizada_calagem="Sim",c_horamaquina_algodao_calagem*algodao_operacaomecanizada_calagem_repeticoes,0),IF(algodao_operacaomecanizada_colheita="Sim",c_horamaquina_algodao_colheita*algodao_operacaomecanizada_colheita_repeticoes,0),IF(algodao_operacaomecanizada_plantiocomadubacao="Sim",c_horamaquina_algodao_plantiocomadubacao*algodao_operacaomecanizada_plantiocomadubacao_repeticoes,0),IF(algodao_operacaomecanizada_preparodesolo="Sim",c_horamaquina_algodao_plantiocomadubacao*algodao_operacaomecanizada_preparodesolo_repeticoes,0))*c_mecanizacao_co2*20*(mistura_diesel_algodao/100)*algodao_areacultivada,0))),"-",IF(algodao_tipoconsumocombustivel="Quantidade consumida",(algodao_consumodiesel*(mistura_diesel_algodao/100))*c_mecanizacao_co2,IF(algodao_tipoconsumocombustivel="Operações mecanizadas",SUM(IF(algodao_operacaomecanizada_adubacaodecobertura="Sim",c_horamaquina_algodao_adubacaodecobertura*algodao_operacaomecanizada_adubacaodecobertura_repeticoes,0),IF(algodao_operacaomecanizada_aplicacaodedefensivos="Sim",c_horamaquina_algodao_aplicacaodedefensivos*algodao_operacaomecanizada_aplicacaodedefensivos_repeticoes,0),IF(algodao_operacaomecanizada_calagem="Sim",c_horamaquina_algodao_calagem*algodao_operacaomecanizada_calagem_repeticoes,0),IF(algodao_operacaomecanizada_colheita="Sim",c_horamaquina_algodao_colheita*algodao_operacaomecanizada_colheita_repeticoes,0),IF(algodao_operacaomecanizada_plantiocomadubacao="Sim",c_horamaquina_algodao_plantiocomadubacao*algodao_operacaomecanizada_plantiocomadubacao_repeticoes,0),IF(algodao_operacaomecanizada_preparodesolo="Sim",c_horamaquina_algodao_plantiocomadubacao*algodao_operacaomecanizada_preparodesolo_repeticoes,0))*c_mecanizacao_co2*20*(mistura_diesel_algodao/100)*algodao_areacultivada,0)))</f>
        <v>0</v>
      </c>
      <c r="G137" s="122">
        <f>IF(ISERROR(IF(algodao_tipoconsumocombustivel="Quantidade consumida",(algodao_consumodiesel*(mistura_diesel_algodao/100))*c_mecanizacao_n2o,IF(algodao_tipoconsumocombustivel="Operações mecanizadas",SUM(IF(algodao_operacaomecanizada_adubacaodecobertura="Sim",c_horamaquina_algodao_adubacaodecobertura*algodao_operacaomecanizada_adubacaodecobertura_repeticoes,0),IF(algodao_operacaomecanizada_aplicacaodedefensivos="Sim",c_horamaquina_algodao_aplicacaodedefensivos*algodao_operacaomecanizada_aplicacaodedefensivos_repeticoes,0),IF(algodao_operacaomecanizada_calagem="Sim",c_horamaquina_algodao_calagem*algodao_operacaomecanizada_calagem_repeticoes,0),IF(algodao_operacaomecanizada_colheita="Sim",c_horamaquina_algodao_colheita*algodao_operacaomecanizada_colheita_repeticoes,0),IF(algodao_operacaomecanizada_plantiocomadubacao="Sim",c_horamaquina_algodao_plantiocomadubacao*algodao_operacaomecanizada_plantiocomadubacao_repeticoes,0),IF(algodao_operacaomecanizada_preparodesolo="Sim",c_horamaquina_algodao_plantiocomadubacao*algodao_operacaomecanizada_preparodesolo_repeticoes,0))*c_mecanizacao_n2o*20*(mistura_diesel_algodao/100)*algodao_areacultivada,0))),"-",IF(algodao_tipoconsumocombustivel="Quantidade consumida",(algodao_consumodiesel*(mistura_diesel_algodao/100))*c_mecanizacao_n2o,IF(algodao_tipoconsumocombustivel="Operações mecanizadas",SUM(IF(algodao_operacaomecanizada_adubacaodecobertura="Sim",c_horamaquina_algodao_adubacaodecobertura*algodao_operacaomecanizada_adubacaodecobertura_repeticoes,0),IF(algodao_operacaomecanizada_aplicacaodedefensivos="Sim",c_horamaquina_algodao_aplicacaodedefensivos*algodao_operacaomecanizada_aplicacaodedefensivos_repeticoes,0),IF(algodao_operacaomecanizada_calagem="Sim",c_horamaquina_algodao_calagem*algodao_operacaomecanizada_calagem_repeticoes,0),IF(algodao_operacaomecanizada_colheita="Sim",c_horamaquina_algodao_colheita*algodao_operacaomecanizada_colheita_repeticoes,0),IF(algodao_operacaomecanizada_plantiocomadubacao="Sim",c_horamaquina_algodao_plantiocomadubacao*algodao_operacaomecanizada_plantiocomadubacao_repeticoes,0),IF(algodao_operacaomecanizada_preparodesolo="Sim",c_horamaquina_algodao_plantiocomadubacao*algodao_operacaomecanizada_preparodesolo_repeticoes,0))*c_mecanizacao_n2o*20*(mistura_diesel_algodao/100)*algodao_areacultivada,0)))</f>
        <v>0</v>
      </c>
      <c r="H137" s="127">
        <f>IF(ISERROR(IF(algodao_tipoconsumocombustivel="Quantidade consumida",(algodao_consumodiesel*(mistura_diesel_algodao/100))*c_mecanizacao_ch4,IF(algodao_tipoconsumocombustivel="Operações mecanizadas",SUM(IF(algodao_operacaomecanizada_adubacaodecobertura="Sim",c_horamaquina_algodao_adubacaodecobertura*algodao_operacaomecanizada_adubacaodecobertura_repeticoes,0),IF(algodao_operacaomecanizada_aplicacaodedefensivos="Sim",c_horamaquina_algodao_aplicacaodedefensivos*algodao_operacaomecanizada_aplicacaodedefensivos_repeticoes,0),IF(algodao_operacaomecanizada_calagem="Sim",c_horamaquina_algodao_calagem*algodao_operacaomecanizada_calagem_repeticoes,0),IF(algodao_operacaomecanizada_colheita="Sim",c_horamaquina_algodao_colheita*algodao_operacaomecanizada_colheita_repeticoes,0),IF(algodao_operacaomecanizada_plantiocomadubacao="Sim",c_horamaquina_algodao_plantiocomadubacao*algodao_operacaomecanizada_plantiocomadubacao_repeticoes,0),IF(algodao_operacaomecanizada_preparodesolo="Sim",c_horamaquina_algodao_plantiocomadubacao*algodao_operacaomecanizada_preparodesolo_repeticoes,0))*c_mecanizacao_ch4*20*(mistura_diesel_algodao/100)*algodao_areacultivada,0))),"-",IF(algodao_tipoconsumocombustivel="Quantidade consumida",(algodao_consumodiesel*(mistura_diesel_algodao/100))*c_mecanizacao_ch4,IF(algodao_tipoconsumocombustivel="Operações mecanizadas",SUM(IF(algodao_operacaomecanizada_adubacaodecobertura="Sim",c_horamaquina_algodao_adubacaodecobertura*algodao_operacaomecanizada_adubacaodecobertura_repeticoes,0),IF(algodao_operacaomecanizada_aplicacaodedefensivos="Sim",c_horamaquina_algodao_aplicacaodedefensivos*algodao_operacaomecanizada_aplicacaodedefensivos_repeticoes,0),IF(algodao_operacaomecanizada_calagem="Sim",c_horamaquina_algodao_calagem*algodao_operacaomecanizada_calagem_repeticoes,0),IF(algodao_operacaomecanizada_colheita="Sim",c_horamaquina_algodao_colheita*algodao_operacaomecanizada_colheita_repeticoes,0),IF(algodao_operacaomecanizada_plantiocomadubacao="Sim",c_horamaquina_algodao_plantiocomadubacao*algodao_operacaomecanizada_plantiocomadubacao_repeticoes,0),IF(algodao_operacaomecanizada_preparodesolo="Sim",c_horamaquina_algodao_plantiocomadubacao*algodao_operacaomecanizada_preparodesolo_repeticoes,0))*c_mecanizacao_ch4*20*(mistura_diesel_algodao/100)*algodao_areacultivada,0)))</f>
        <v>0</v>
      </c>
      <c r="I137" s="121">
        <f t="shared" si="4"/>
        <v>0</v>
      </c>
      <c r="J137" s="139"/>
    </row>
    <row r="138" spans="1:18" hidden="1" outlineLevel="1">
      <c r="A138" s="43"/>
      <c r="B138" s="130" t="s">
        <v>151</v>
      </c>
      <c r="C138" s="130" t="s">
        <v>213</v>
      </c>
      <c r="D138" s="130" t="s">
        <v>99</v>
      </c>
      <c r="E138" s="131" t="s">
        <v>225</v>
      </c>
      <c r="F138" s="132">
        <f>IF(ISERROR((c_emissaoexterna_fungicida*algodao_aplicacaofungicida)+(c_emissaoexterna_herbicida*algodao_aplicacaoherbicida)+(c_emissaoexterna_inseticida*algodao_aplicacaoinseticida)),"-",(c_emissaoexterna_fungicida*algodao_aplicacaofungicida)+(c_emissaoexterna_herbicida*algodao_aplicacaoherbicida)+(c_emissaoexterna_inseticida*algodao_aplicacaoinseticida))</f>
        <v>0</v>
      </c>
      <c r="G138" s="133"/>
      <c r="H138" s="134"/>
      <c r="I138" s="132">
        <f t="shared" si="4"/>
        <v>0</v>
      </c>
      <c r="J138" s="139"/>
    </row>
    <row r="139" spans="1:18" hidden="1" outlineLevel="1">
      <c r="A139" s="43"/>
      <c r="B139" s="380" t="s">
        <v>260</v>
      </c>
      <c r="C139" s="381"/>
      <c r="D139" s="135" t="s">
        <v>51</v>
      </c>
      <c r="E139" s="136" t="s">
        <v>225</v>
      </c>
      <c r="F139" s="137">
        <f>IF(ISERROR(IF(algodao_tempoadocaosistema="Menor ou igual a 20 anos",algodao_areacultivada*(c_mudancausosolo_algodao*-1),0)),"-",IF(algodao_tempoadocaosistema="Menor ou igual a 20 anos",algodao_areacultivada*(c_mudancausosolo_algodao*-1),0))</f>
        <v>0</v>
      </c>
      <c r="G139" s="138"/>
      <c r="H139" s="139"/>
      <c r="I139" s="140">
        <f t="shared" si="4"/>
        <v>0</v>
      </c>
      <c r="J139" s="141">
        <f>IF(ISERROR(IF(F139&lt;0,F139*-1,0)+IF(G139*pag_n2o&lt;0,G139*pag_n2o*-1,0)+IF(H139*pag_ch4&lt;0,H139*pag_ch4*-1,0)),"-",IF(F139&lt;0,F139*-1,0)+IF(G139*pag_n2o&lt;0,G139*pag_n2o*-1,0)+IF(H139*pag_ch4&lt;0,H139*pag_ch4*-1,0))</f>
        <v>0</v>
      </c>
    </row>
    <row r="140" spans="1:18" ht="13.5" hidden="1" outlineLevel="1" thickBot="1">
      <c r="A140" s="43"/>
      <c r="B140" s="382"/>
      <c r="C140" s="383"/>
      <c r="D140" s="135" t="s">
        <v>440</v>
      </c>
      <c r="E140" s="142" t="s">
        <v>225</v>
      </c>
      <c r="F140" s="143">
        <f>IF(ISERROR(IF(algodao_tipoconsumocombustivel="Quantidade consumida",(algodao_consumodiesel*(1-(mistura_diesel_algodao/100)))*c_emissao_biodiesel,IF(algodao_tipoconsumocombustivel="Operações mecanizadas",SUM(IF(algodao_operacaomecanizada_adubacaodecobertura="Sim",c_horamaquina_algodao_adubacaodecobertura*algodao_operacaomecanizada_adubacaodecobertura_repeticoes,0),IF(algodao_operacaomecanizada_aplicacaodedefensivos="Sim",c_horamaquina_algodao_aplicacaodedefensivos*algodao_operacaomecanizada_aplicacaodedefensivos_repeticoes,0),IF(algodao_operacaomecanizada_calagem="Sim",c_horamaquina_algodao_calagem*algodao_operacaomecanizada_calagem_repeticoes,0),IF(algodao_operacaomecanizada_colheita="Sim",c_horamaquina_algodao_colheita*algodao_operacaomecanizada_colheita_repeticoes,0),IF(algodao_operacaomecanizada_plantiocomadubacao="Sim",c_horamaquina_algodao_plantiocomadubacao*algodao_operacaomecanizada_plantiocomadubacao_repeticoes,0),IF(algodao_operacaomecanizada_preparodesolo="Sim",c_horamaquina_algodao_plantiocomadubacao*algodao_operacaomecanizada_preparodesolo_repeticoes,0))*c_emissao_biodiesel*20*(1-(mistura_diesel_algodao/100))*algodao_areacultivada,0))),"-",IF(algodao_tipoconsumocombustivel="Quantidade consumida",(algodao_consumodiesel*(1-(mistura_diesel_algodao/100)))*c_emissao_biodiesel,IF(algodao_tipoconsumocombustivel="Operações mecanizadas",SUM(IF(algodao_operacaomecanizada_adubacaodecobertura="Sim",c_horamaquina_algodao_adubacaodecobertura*algodao_operacaomecanizada_adubacaodecobertura_repeticoes,0),IF(algodao_operacaomecanizada_aplicacaodedefensivos="Sim",c_horamaquina_algodao_aplicacaodedefensivos*algodao_operacaomecanizada_aplicacaodedefensivos_repeticoes,0),IF(algodao_operacaomecanizada_calagem="Sim",c_horamaquina_algodao_calagem*algodao_operacaomecanizada_calagem_repeticoes,0),IF(algodao_operacaomecanizada_colheita="Sim",c_horamaquina_algodao_colheita*algodao_operacaomecanizada_colheita_repeticoes,0),IF(algodao_operacaomecanizada_plantiocomadubacao="Sim",c_horamaquina_algodao_plantiocomadubacao*algodao_operacaomecanizada_plantiocomadubacao_repeticoes,0),IF(algodao_operacaomecanizada_preparodesolo="Sim",c_horamaquina_algodao_plantiocomadubacao*algodao_operacaomecanizada_preparodesolo_repeticoes,0))*c_emissao_biodiesel*20*(1-(mistura_diesel_algodao/100))*algodao_areacultivada,0)))</f>
        <v>0</v>
      </c>
      <c r="G140" s="144"/>
      <c r="H140" s="145"/>
      <c r="I140" s="182">
        <f t="shared" si="4"/>
        <v>0</v>
      </c>
      <c r="J140" s="168"/>
    </row>
    <row r="141" spans="1:18" hidden="1" outlineLevel="1">
      <c r="A141" s="43"/>
      <c r="B141" s="148"/>
      <c r="C141" s="149"/>
      <c r="D141" s="149"/>
      <c r="E141" s="150" t="s">
        <v>438</v>
      </c>
      <c r="F141" s="151">
        <f>IF(ISERROR(SUMIF(F128:F140,"&gt;=0")),"-",SUMIF(F128:F140,"&gt;=0"))</f>
        <v>0</v>
      </c>
      <c r="G141" s="152">
        <f>IF(ISERROR(SUMIF(G128:G140,"&gt;=0")),"-",SUMIF(G128:G140,"&gt;=0"))</f>
        <v>0</v>
      </c>
      <c r="H141" s="153">
        <f t="shared" ref="H141:J141" si="5">IF(ISERROR(SUMIF(H128:H140,"&gt;=0")),"-",SUMIF(H128:H140,"&gt;=0"))</f>
        <v>0</v>
      </c>
      <c r="I141" s="151">
        <f>IF(ISERROR(SUMIF(I128:I140,"&gt;=0")),"-",SUMIF(I128:I140,"&gt;=0"))</f>
        <v>0</v>
      </c>
      <c r="J141" s="141">
        <f t="shared" si="5"/>
        <v>0</v>
      </c>
    </row>
    <row r="142" spans="1:18" ht="15.75" hidden="1" outlineLevel="1">
      <c r="A142" s="43"/>
      <c r="B142" s="155"/>
      <c r="C142" s="156"/>
      <c r="D142" s="156"/>
      <c r="E142" s="157" t="s">
        <v>455</v>
      </c>
      <c r="F142" s="158">
        <f>IF(ISERROR(F141),"-",F141)</f>
        <v>0</v>
      </c>
      <c r="G142" s="159">
        <f>IF(ISERROR(G141*pag_n2o),"-",G141*pag_n2o)</f>
        <v>0</v>
      </c>
      <c r="H142" s="160">
        <f>IF(ISERROR(H141*pag_ch4),"-",H141*pag_ch4)</f>
        <v>0</v>
      </c>
      <c r="I142" s="190"/>
      <c r="J142" s="124"/>
    </row>
    <row r="143" spans="1:18" ht="13.5" hidden="1" outlineLevel="1" thickBot="1">
      <c r="A143" s="43"/>
      <c r="B143" s="163"/>
      <c r="C143" s="164"/>
      <c r="D143" s="164"/>
      <c r="E143" s="165" t="s">
        <v>443</v>
      </c>
      <c r="F143" s="166">
        <f>IF(ISERROR(SUMIF(F128:F140,"&lt;0")*-1),"-",SUMIF(F128:F140,"&lt;0")*-1)</f>
        <v>0</v>
      </c>
      <c r="G143" s="167"/>
      <c r="H143" s="168"/>
      <c r="I143" s="191"/>
      <c r="J143" s="168"/>
    </row>
    <row r="144" spans="1:18" hidden="1" outlineLevel="1">
      <c r="B144" s="43"/>
      <c r="C144" s="43"/>
      <c r="D144" s="43"/>
      <c r="E144" s="43"/>
      <c r="F144" s="43"/>
      <c r="G144" s="43"/>
      <c r="H144" s="43"/>
      <c r="I144" s="43"/>
      <c r="J144" s="43"/>
    </row>
    <row r="145" spans="1:19" hidden="1" outlineLevel="1">
      <c r="B145" s="367" t="s">
        <v>524</v>
      </c>
      <c r="C145" s="367"/>
      <c r="D145" s="367"/>
      <c r="E145" s="43"/>
      <c r="F145" s="43"/>
      <c r="G145" s="43"/>
      <c r="H145" s="43"/>
      <c r="I145" s="43"/>
      <c r="J145" s="43"/>
    </row>
    <row r="146" spans="1:19" ht="15.75" hidden="1" outlineLevel="1">
      <c r="B146" s="171"/>
      <c r="C146" s="172" t="s">
        <v>525</v>
      </c>
      <c r="D146" s="172" t="s">
        <v>526</v>
      </c>
      <c r="E146" s="43"/>
      <c r="F146" s="43"/>
      <c r="G146" s="43"/>
      <c r="H146" s="43"/>
      <c r="I146" s="43"/>
      <c r="J146" s="43"/>
    </row>
    <row r="147" spans="1:19" hidden="1" outlineLevel="1">
      <c r="B147" s="173" t="s">
        <v>109</v>
      </c>
      <c r="C147" s="174">
        <f>IF(ISERROR(algodao_areaqueimaresiduos*algodao_produtividademedia*c_queimaresiduoalgodao_co),"-",algodao_areaqueimaresiduos*algodao_produtividademedia*c_queimaresiduoalgodao_co)</f>
        <v>0</v>
      </c>
      <c r="D147" s="174">
        <f>IF(ISERROR(C147*conversor_co_co2),"-",C147*conversor_co_co2)</f>
        <v>0</v>
      </c>
      <c r="E147" s="43"/>
      <c r="F147" s="43"/>
      <c r="G147" s="43"/>
      <c r="H147" s="43"/>
      <c r="I147" s="43"/>
      <c r="J147" s="43"/>
    </row>
    <row r="148" spans="1:19" ht="15.75" hidden="1" outlineLevel="1">
      <c r="B148" s="173" t="s">
        <v>253</v>
      </c>
      <c r="C148" s="174">
        <f>IF(ISERROR(algodao_areaqueimaresiduos*algodao_produtividademedia*c_queimaresiduoalgodao_nox),"-",algodao_areaqueimaresiduos*algodao_produtividademedia*c_queimaresiduoalgodao_nox)</f>
        <v>0</v>
      </c>
      <c r="D148" s="174">
        <f>IF(ISERROR(conversor_no2_n2o*C148*pag_n2o),"-",conversor_no2_n2o*C148*pag_n2o)</f>
        <v>0</v>
      </c>
      <c r="E148" s="43"/>
      <c r="F148" s="43"/>
      <c r="G148" s="43"/>
      <c r="H148" s="43"/>
      <c r="I148" s="43"/>
      <c r="J148" s="43"/>
    </row>
    <row r="149" spans="1:19">
      <c r="B149" s="43"/>
      <c r="C149" s="43"/>
      <c r="D149" s="43"/>
      <c r="E149" s="43"/>
      <c r="F149" s="43"/>
      <c r="G149" s="43"/>
      <c r="H149" s="43"/>
      <c r="I149" s="43"/>
      <c r="J149" s="43"/>
    </row>
    <row r="150" spans="1:19" collapsed="1">
      <c r="A150" s="100"/>
      <c r="B150" s="368" t="s">
        <v>15</v>
      </c>
      <c r="C150" s="368"/>
      <c r="D150" s="368"/>
      <c r="E150" s="368"/>
      <c r="F150" s="368"/>
      <c r="G150" s="368"/>
      <c r="H150" s="368"/>
      <c r="I150" s="368"/>
      <c r="J150" s="369"/>
    </row>
    <row r="151" spans="1:19" hidden="1" outlineLevel="1">
      <c r="A151" s="25"/>
      <c r="B151" s="43"/>
      <c r="C151" s="43"/>
      <c r="D151" s="43"/>
      <c r="E151" s="43"/>
      <c r="F151" s="43"/>
      <c r="G151" s="43"/>
      <c r="H151" s="43"/>
      <c r="I151" s="43"/>
      <c r="J151" s="43"/>
      <c r="S151" s="43"/>
    </row>
    <row r="152" spans="1:19" hidden="1" outlineLevel="1">
      <c r="A152" s="43"/>
      <c r="B152" s="379" t="s">
        <v>445</v>
      </c>
      <c r="C152" s="379"/>
      <c r="D152" s="379"/>
      <c r="E152" s="379"/>
      <c r="F152" s="43"/>
      <c r="G152" s="43"/>
      <c r="H152" s="43"/>
      <c r="I152" s="43"/>
      <c r="J152" s="24"/>
    </row>
    <row r="153" spans="1:19" ht="28.5" hidden="1" outlineLevel="1">
      <c r="A153" s="43"/>
      <c r="B153" s="101"/>
      <c r="C153" s="102" t="s">
        <v>386</v>
      </c>
      <c r="D153" s="102" t="s">
        <v>385</v>
      </c>
      <c r="E153" s="102" t="s">
        <v>423</v>
      </c>
      <c r="F153" s="43"/>
      <c r="G153" s="24"/>
      <c r="H153" s="24"/>
      <c r="I153" s="24"/>
      <c r="J153" s="24"/>
    </row>
    <row r="154" spans="1:19" hidden="1" outlineLevel="1">
      <c r="A154" s="43"/>
      <c r="B154" s="103" t="s">
        <v>105</v>
      </c>
      <c r="C154" s="104">
        <f>IF(ISERROR(SUM(I163:I172)),"-",SUM(I163:I172))</f>
        <v>0</v>
      </c>
      <c r="D154" s="192" t="str">
        <f>IF(ISERROR(C154/trigo_areacultivada),"-",C154/trigo_areacultivada)</f>
        <v>-</v>
      </c>
      <c r="E154" s="192" t="str">
        <f>IF(ISERROR(C154/(trigo_areacultivada*trigo_produtividademedia)),"-",C154/(trigo_areacultivada*trigo_produtividademedia))</f>
        <v>-</v>
      </c>
      <c r="F154" s="43"/>
      <c r="G154" s="24"/>
      <c r="H154" s="24"/>
      <c r="I154" s="24"/>
      <c r="J154" s="24"/>
    </row>
    <row r="155" spans="1:19" hidden="1" outlineLevel="1">
      <c r="A155" s="43"/>
      <c r="B155" s="105" t="s">
        <v>151</v>
      </c>
      <c r="C155" s="106">
        <f>IF(ISERROR(I173),"-",I173)</f>
        <v>0</v>
      </c>
      <c r="D155" s="193" t="str">
        <f>IF(ISERROR(C155/trigo_areacultivada),"-",C155/trigo_areacultivada)</f>
        <v>-</v>
      </c>
      <c r="E155" s="193" t="str">
        <f>IF(ISERROR(C155/(trigo_areacultivada*trigo_produtividademedia)),"-",C155/(trigo_areacultivada*trigo_produtividademedia))</f>
        <v>-</v>
      </c>
      <c r="F155" s="43"/>
      <c r="G155" s="24"/>
      <c r="H155" s="24"/>
      <c r="I155" s="24"/>
      <c r="J155" s="24"/>
      <c r="Q155" s="24"/>
      <c r="R155" s="24"/>
    </row>
    <row r="156" spans="1:19" hidden="1" outlineLevel="1">
      <c r="A156" s="43"/>
      <c r="B156" s="107" t="s">
        <v>173</v>
      </c>
      <c r="C156" s="108">
        <f>IF(ISERROR(SUM(I174:I175)),"-",SUM(I174:I175))</f>
        <v>0</v>
      </c>
      <c r="D156" s="194" t="str">
        <f>IF(ISERROR(C156/trigo_areacultivada),"-",C156/trigo_areacultivada)</f>
        <v>-</v>
      </c>
      <c r="E156" s="194" t="str">
        <f>IF(ISERROR(C156/(trigo_areacultivada*trigo_produtividademedia)),"-",C156/(trigo_areacultivada*trigo_produtividademedia))</f>
        <v>-</v>
      </c>
      <c r="F156" s="43"/>
      <c r="G156" s="24"/>
      <c r="H156" s="24"/>
      <c r="I156" s="24"/>
      <c r="J156" s="24"/>
      <c r="Q156" s="24"/>
      <c r="R156" s="24"/>
    </row>
    <row r="157" spans="1:19" ht="15.75" hidden="1" outlineLevel="1">
      <c r="A157" s="43"/>
      <c r="B157" s="109" t="s">
        <v>422</v>
      </c>
      <c r="C157" s="110">
        <f>IF(ISERROR(J176),"-",J176)</f>
        <v>0</v>
      </c>
      <c r="D157" s="195" t="str">
        <f>IF(ISERROR(C157/trigo_areacultivada),"-",C157/trigo_areacultivada)</f>
        <v>-</v>
      </c>
      <c r="E157" s="195" t="str">
        <f>IF(ISERROR(C157/(trigo_areacultivada*trigo_produtividademedia)),"-",C157/(trigo_areacultivada*trigo_produtividademedia))</f>
        <v>-</v>
      </c>
      <c r="F157" s="43"/>
      <c r="G157" s="24"/>
      <c r="H157" s="24"/>
      <c r="I157" s="24"/>
      <c r="J157" s="24"/>
      <c r="Q157" s="24"/>
      <c r="R157" s="24"/>
    </row>
    <row r="158" spans="1:19" hidden="1" outlineLevel="1">
      <c r="A158" s="43"/>
      <c r="B158" s="111" t="s">
        <v>169</v>
      </c>
      <c r="C158" s="196">
        <f>IF(ISERROR(SUM(C154:C156)-C157),"-",SUM(C154:C156)-C157)</f>
        <v>0</v>
      </c>
      <c r="D158" s="196" t="str">
        <f>IF(ISERROR(C158/trigo_areacultivada),"-",C158/trigo_areacultivada)</f>
        <v>-</v>
      </c>
      <c r="E158" s="196" t="str">
        <f>IF(ISERROR(C158/(trigo_areacultivada*trigo_produtividademedia)),"-",C158/(trigo_areacultivada*trigo_produtividademedia))</f>
        <v>-</v>
      </c>
      <c r="F158" s="43"/>
      <c r="G158" s="24"/>
      <c r="H158" s="24"/>
      <c r="I158" s="24"/>
      <c r="J158" s="24"/>
      <c r="Q158" s="24"/>
      <c r="R158" s="24"/>
    </row>
    <row r="159" spans="1:19" hidden="1" outlineLevel="1">
      <c r="A159" s="43"/>
      <c r="B159" s="43"/>
      <c r="C159" s="43"/>
      <c r="D159" s="43"/>
      <c r="E159" s="43"/>
      <c r="F159" s="43"/>
      <c r="G159" s="24"/>
      <c r="H159" s="24"/>
      <c r="I159" s="24"/>
      <c r="J159" s="24"/>
      <c r="Q159" s="24"/>
      <c r="R159" s="24"/>
    </row>
    <row r="160" spans="1:19" ht="13.5" hidden="1" outlineLevel="1" thickBot="1">
      <c r="A160" s="43"/>
      <c r="B160" s="367" t="s">
        <v>446</v>
      </c>
      <c r="C160" s="367"/>
      <c r="D160" s="367"/>
      <c r="E160" s="367"/>
      <c r="F160" s="367"/>
      <c r="G160" s="367"/>
      <c r="H160" s="367"/>
      <c r="I160" s="367"/>
      <c r="J160" s="367"/>
      <c r="Q160" s="24"/>
      <c r="R160" s="24"/>
    </row>
    <row r="161" spans="1:18" hidden="1" outlineLevel="1">
      <c r="A161" s="43"/>
      <c r="B161" s="113"/>
      <c r="C161" s="114"/>
      <c r="D161" s="114"/>
      <c r="E161" s="114"/>
      <c r="F161" s="370" t="s">
        <v>108</v>
      </c>
      <c r="G161" s="371"/>
      <c r="H161" s="372"/>
      <c r="I161" s="385" t="s">
        <v>456</v>
      </c>
      <c r="J161" s="387" t="s">
        <v>444</v>
      </c>
      <c r="Q161" s="24"/>
      <c r="R161" s="24"/>
    </row>
    <row r="162" spans="1:18" ht="15.75" hidden="1" outlineLevel="1">
      <c r="A162" s="43"/>
      <c r="B162" s="389" t="s">
        <v>259</v>
      </c>
      <c r="C162" s="390"/>
      <c r="D162" s="391"/>
      <c r="E162" s="115" t="s">
        <v>232</v>
      </c>
      <c r="F162" s="116" t="s">
        <v>215</v>
      </c>
      <c r="G162" s="117" t="s">
        <v>217</v>
      </c>
      <c r="H162" s="118" t="s">
        <v>216</v>
      </c>
      <c r="I162" s="386"/>
      <c r="J162" s="388"/>
      <c r="Q162" s="24"/>
      <c r="R162" s="24"/>
    </row>
    <row r="163" spans="1:18" hidden="1" outlineLevel="1">
      <c r="A163" s="43"/>
      <c r="B163" s="373" t="s">
        <v>105</v>
      </c>
      <c r="C163" s="376" t="s">
        <v>168</v>
      </c>
      <c r="D163" s="119" t="s">
        <v>255</v>
      </c>
      <c r="E163" s="120" t="s">
        <v>225</v>
      </c>
      <c r="F163" s="121">
        <f>IF(ISERROR(c_co2_ureia*trigo_aplicacaoureia),"-",c_co2_ureia*trigo_aplicacaoureia)</f>
        <v>0</v>
      </c>
      <c r="G163" s="122">
        <f>IF(ISERROR(c_n2o_fertilizantesintetico*((trigo_aplicacaoureia*45)/100)),"-",c_n2o_fertilizantesintetico*((trigo_aplicacaoureia*45)/100))</f>
        <v>0</v>
      </c>
      <c r="H163" s="123"/>
      <c r="I163" s="121">
        <f t="shared" ref="I163:I175" si="6">IF(ISERROR(IF(F163&gt;=0,F163,0)+IF(G163*pag_n2o&gt;=0,G163*pag_n2o,0)+IF(H163*pag_ch4&gt;=0,H163*pag_ch4,0)),"-",IF(F163&gt;=0,F163,0)+IF(G163*pag_n2o&gt;=0,G163*pag_n2o,0)+IF(H163*pag_ch4&gt;=0,H163*pag_ch4,0))</f>
        <v>0</v>
      </c>
      <c r="J163" s="139"/>
      <c r="Q163" s="24"/>
      <c r="R163" s="24"/>
    </row>
    <row r="164" spans="1:18" hidden="1" outlineLevel="1">
      <c r="A164" s="43"/>
      <c r="B164" s="374"/>
      <c r="C164" s="377"/>
      <c r="D164" s="119" t="s">
        <v>6</v>
      </c>
      <c r="E164" s="120" t="s">
        <v>225</v>
      </c>
      <c r="F164" s="121">
        <f>IF(ISERROR((trigo_calcariocalcitico*c_co2_calcariocalcitico)+(trigo_calcariodolomitico*c_co2_calcariodolomitico)),"-",(trigo_calcariocalcitico*c_co2_calcariocalcitico)+(trigo_calcariodolomitico*c_co2_calcariodolomitico))</f>
        <v>0</v>
      </c>
      <c r="G164" s="125"/>
      <c r="H164" s="123"/>
      <c r="I164" s="121">
        <f t="shared" si="6"/>
        <v>0</v>
      </c>
      <c r="J164" s="139"/>
      <c r="Q164" s="24"/>
      <c r="R164" s="24"/>
    </row>
    <row r="165" spans="1:18" hidden="1" outlineLevel="1">
      <c r="A165" s="43"/>
      <c r="B165" s="374"/>
      <c r="C165" s="377"/>
      <c r="D165" s="119" t="s">
        <v>49</v>
      </c>
      <c r="E165" s="120" t="s">
        <v>243</v>
      </c>
      <c r="F165" s="126"/>
      <c r="G165" s="122">
        <f>IF(ISERROR(c_n2o_fertilizantesintetico*((trigo_adubacaonitrogenadasintetica*trigo_nadubosintetico)/100)),"-",c_n2o_fertilizantesintetico*((trigo_adubacaonitrogenadasintetica*trigo_nadubosintetico)/100))</f>
        <v>0</v>
      </c>
      <c r="H165" s="123"/>
      <c r="I165" s="121">
        <f t="shared" si="6"/>
        <v>0</v>
      </c>
      <c r="J165" s="139"/>
      <c r="Q165" s="24"/>
      <c r="R165" s="24"/>
    </row>
    <row r="166" spans="1:18" hidden="1" outlineLevel="1">
      <c r="A166" s="43"/>
      <c r="B166" s="374"/>
      <c r="C166" s="377"/>
      <c r="D166" s="119" t="s">
        <v>50</v>
      </c>
      <c r="E166" s="120" t="s">
        <v>225</v>
      </c>
      <c r="F166" s="126"/>
      <c r="G166" s="122">
        <f>IF(ISERROR((trigo_adubacaoorganicacompostoorganico*c_n2o_compostoorganico)+(trigo_adubacaoorganicaestercogeral*c_n2o_estercogeral)+(trigo_adubacaoorganicaestercoavicola*c_n2o_estercoavicola)+(trigo_adubacaoorganicaoutros*c_n2o_aduboorganicogeral)),"-",(trigo_adubacaoorganicacompostoorganico*c_n2o_compostoorganico)+(trigo_adubacaoorganicaestercogeral*c_n2o_estercogeral)+(trigo_adubacaoorganicaestercoavicola*c_n2o_estercoavicola)+(trigo_adubacaoorganicaoutros*c_n2o_aduboorganicogeral))</f>
        <v>0</v>
      </c>
      <c r="H166" s="123"/>
      <c r="I166" s="121">
        <f t="shared" si="6"/>
        <v>0</v>
      </c>
      <c r="J166" s="139"/>
      <c r="R166" s="24"/>
    </row>
    <row r="167" spans="1:18" hidden="1" outlineLevel="1">
      <c r="A167" s="43"/>
      <c r="B167" s="374"/>
      <c r="C167" s="377"/>
      <c r="D167" s="119" t="s">
        <v>258</v>
      </c>
      <c r="E167" s="120" t="s">
        <v>256</v>
      </c>
      <c r="F167" s="126"/>
      <c r="G167" s="122">
        <f>IF(ISERROR(((trigo_aplicacaoureia*45)/100+(trigo_adubacaonitrogenadasintetica*trigo_nadubosintetico)/100+(trigo_adubacaoorganicacompostoorganico*c_compostoorganico_teornitrogenio)/100+(trigo_adubacaoorganicaestercoavicola*c_estercoavicola_teornitrogenio)/100+(trigo_adubacaoorganicaestercogeral*c_estercogeral_teornitrogenio)/100+(trigo_adubacaoorganicaoutros*c_aduboorganicogeral_teornitrogenio)/100)*0.3*0.025),"-",((trigo_aplicacaoureia*45)/100+(trigo_adubacaonitrogenadasintetica*trigo_nadubosintetico)/100+(trigo_adubacaoorganicacompostoorganico*c_compostoorganico_teornitrogenio)/100+(trigo_adubacaoorganicaestercoavicola*c_estercoavicola_teornitrogenio)/100+(trigo_adubacaoorganicaestercogeral*c_estercogeral_teornitrogenio)/100+(trigo_adubacaoorganicaoutros*c_aduboorganicogeral_teornitrogenio)/100)*0.3*0.025)</f>
        <v>0</v>
      </c>
      <c r="H167" s="123"/>
      <c r="I167" s="121">
        <f t="shared" si="6"/>
        <v>0</v>
      </c>
      <c r="J167" s="139"/>
    </row>
    <row r="168" spans="1:18" hidden="1" outlineLevel="1">
      <c r="A168" s="43"/>
      <c r="B168" s="374"/>
      <c r="C168" s="377"/>
      <c r="D168" s="119" t="s">
        <v>437</v>
      </c>
      <c r="E168" s="120" t="s">
        <v>256</v>
      </c>
      <c r="F168" s="126"/>
      <c r="G168" s="122">
        <f>IF(ISERROR(((((trigo_aplicacaoureia*45)/100+(trigo_adubacaonitrogenadasintetica*trigo_nadubosintetico)/100)*0.1)+(((trigo_adubacaoorganicacompostoorganico*c_compostoorganico_teornitrogenio)/100+(trigo_adubacaoorganicaestercoavicola*c_estercoavicola_teornitrogenio)/100+(trigo_adubacaoorganicaestercogeral*c_estercogeral_teornitrogenio)/100+(trigo_adubacaoorganicaoutros*c_aduboorganicogeral_teornitrogenio)/100)*0.2))*0.01),"-",((((trigo_aplicacaoureia*45)/100+(trigo_adubacaonitrogenadasintetica*trigo_nadubosintetico)/100)*0.1)+(((trigo_adubacaoorganicacompostoorganico*c_compostoorganico_teornitrogenio)/100+(trigo_adubacaoorganicaestercoavicola*c_estercoavicola_teornitrogenio)/100+(trigo_adubacaoorganicaestercogeral*c_estercogeral_teornitrogenio)/100+(trigo_adubacaoorganicaoutros*c_aduboorganicogeral_teornitrogenio)/100)*0.2))*0.01)</f>
        <v>0</v>
      </c>
      <c r="H168" s="123"/>
      <c r="I168" s="121">
        <f t="shared" si="6"/>
        <v>0</v>
      </c>
      <c r="J168" s="139"/>
    </row>
    <row r="169" spans="1:18" hidden="1" outlineLevel="1">
      <c r="A169" s="43"/>
      <c r="B169" s="374"/>
      <c r="C169" s="377"/>
      <c r="D169" s="119" t="s">
        <v>363</v>
      </c>
      <c r="E169" s="120" t="s">
        <v>225</v>
      </c>
      <c r="F169" s="126"/>
      <c r="G169" s="122">
        <f>IF(ISERROR(trigo_areaqueimaresiduos*trigo_produtividademedia*c_queimaresiduotrigo_n2o),"-",trigo_areaqueimaresiduos*trigo_produtividademedia*c_queimaresiduotrigo_n2o)</f>
        <v>0</v>
      </c>
      <c r="H169" s="127">
        <f>IF(ISERROR(trigo_areaqueimaresiduos*trigo_produtividademedia*c_queimaresiduotrigo_ch4),"-",trigo_areaqueimaresiduos*trigo_produtividademedia*c_queimaresiduotrigo_ch4)</f>
        <v>0</v>
      </c>
      <c r="I169" s="121">
        <f t="shared" si="6"/>
        <v>0</v>
      </c>
      <c r="J169" s="139"/>
    </row>
    <row r="170" spans="1:18" hidden="1" outlineLevel="1">
      <c r="A170" s="43"/>
      <c r="B170" s="374"/>
      <c r="C170" s="377"/>
      <c r="D170" s="119" t="s">
        <v>362</v>
      </c>
      <c r="E170" s="120" t="s">
        <v>225</v>
      </c>
      <c r="F170" s="126"/>
      <c r="G170" s="122">
        <f>IF(ISERROR((trigo_produtividademedia*trigo_areacultivada*c_residuotrigo_n2o)+(trigo_adubacaoverdegraminea*c_residuoadubacaoverdegraminea_n2o)+(trigo_adubacaoverdeleguminosa*c_residuoadubacaoverdeleguminosa_n2o)+(trigo_adubacaoverdeoutros*c_residuoadubacaoverdeoutros_n2o)),"-",(trigo_produtividademedia*trigo_areacultivada*c_residuotrigo_n2o)+(trigo_adubacaoverdegraminea*c_residuoadubacaoverdegraminea_n2o)+(trigo_adubacaoverdeleguminosa*c_residuoadubacaoverdeleguminosa_n2o)+(trigo_adubacaoverdeoutros*c_residuoadubacaoverdeoutros_n2o))</f>
        <v>0</v>
      </c>
      <c r="H170" s="123"/>
      <c r="I170" s="121">
        <f t="shared" si="6"/>
        <v>0</v>
      </c>
      <c r="J170" s="139"/>
    </row>
    <row r="171" spans="1:18" hidden="1" outlineLevel="1">
      <c r="A171" s="43"/>
      <c r="B171" s="374"/>
      <c r="C171" s="378"/>
      <c r="D171" s="128" t="s">
        <v>257</v>
      </c>
      <c r="E171" s="120" t="s">
        <v>225</v>
      </c>
      <c r="F171" s="121">
        <f>IF(ISERROR(trigo_cultivosoloorganico*c_co2eq_cultivosolosorganicos),"-",trigo_cultivosoloorganico*c_co2eq_cultivosolosorganicos)</f>
        <v>0</v>
      </c>
      <c r="G171" s="122">
        <f>IF(ISERROR(trigo_cultivosoloorganico*c_n2o_perdanitrogenio),"-",trigo_cultivosoloorganico*c_n2o_perdanitrogenio)</f>
        <v>0</v>
      </c>
      <c r="H171" s="123"/>
      <c r="I171" s="121">
        <f t="shared" si="6"/>
        <v>0</v>
      </c>
      <c r="J171" s="139"/>
    </row>
    <row r="172" spans="1:18" hidden="1" outlineLevel="1">
      <c r="A172" s="43"/>
      <c r="B172" s="375"/>
      <c r="C172" s="129" t="s">
        <v>106</v>
      </c>
      <c r="D172" s="119" t="s">
        <v>93</v>
      </c>
      <c r="E172" s="120" t="s">
        <v>225</v>
      </c>
      <c r="F172" s="121">
        <f>IF(ISERROR(IF(trigo_tipoconsumocombustivel="Quantidade consumida",(trigo_consumodiesel*(mistura_diesel_trigo/100))*c_mecanizacao_co2,IF(trigo_tipoconsumocombustivel="Operações mecanizadas",SUM(IF(trigo_operacaomecanizada_aplicacaofungicida="Sim",c_horamaquina_trigo_aplicacaofungicida*trigo_operacaomecanizada_aplicacaofungicida_repeticoes,0),IF(trigo_operacaomecanizada_aplicacaoherbicida="Sim",c_horamaquina_trigo_aplicacaoherbicida*trigo_operacaomecanizada_aplicacaoherbicida_repeticoes,0),IF(trigo_operacaomecanizada_aplicacaoinseticida="Sim",c_horamaquina_trigo_aplicacaoinseticida*trigo_operacaomecanizada_aplicacaoinseticida_repeticoes,0),IF(trigo_operacaomecanizada_colheita="Sim",c_horamaquina_trigo_colheita*trigo_operacaomecanizada_colheita_repeticoes,0),IF(trigo_operacaomecanizada_plantio="Sim",c_horamaquina_trigo_plantio*trigo_operacaomecanizada_plantio_repeticoes,0))*c_mecanizacao_co2*20*(mistura_diesel_trigo/100)*trigo_areacultivada,0))),"-",IF(trigo_tipoconsumocombustivel="Quantidade consumida",(trigo_consumodiesel*(mistura_diesel_trigo/100))*c_mecanizacao_co2,IF(trigo_tipoconsumocombustivel="Operações mecanizadas",SUM(IF(trigo_operacaomecanizada_aplicacaofungicida="Sim",c_horamaquina_trigo_aplicacaofungicida*trigo_operacaomecanizada_aplicacaofungicida_repeticoes,0),IF(trigo_operacaomecanizada_aplicacaoherbicida="Sim",c_horamaquina_trigo_aplicacaoherbicida*trigo_operacaomecanizada_aplicacaoherbicida_repeticoes,0),IF(trigo_operacaomecanizada_aplicacaoinseticida="Sim",c_horamaquina_trigo_aplicacaoinseticida*trigo_operacaomecanizada_aplicacaoinseticida_repeticoes,0),IF(trigo_operacaomecanizada_colheita="Sim",c_horamaquina_trigo_colheita*trigo_operacaomecanizada_colheita_repeticoes,0),IF(trigo_operacaomecanizada_plantio="Sim",c_horamaquina_trigo_plantio*trigo_operacaomecanizada_plantio_repeticoes,0))*c_mecanizacao_co2*20*(mistura_diesel_trigo/100)*trigo_areacultivada,0)))</f>
        <v>0</v>
      </c>
      <c r="G172" s="122">
        <f>IF(ISERROR(IF(trigo_tipoconsumocombustivel="Quantidade consumida",(trigo_consumodiesel*(mistura_diesel_trigo/100))*c_mecanizacao_n2o,IF(trigo_tipoconsumocombustivel="Operações mecanizadas",SUM(IF(trigo_operacaomecanizada_aplicacaofungicida="Sim",c_horamaquina_trigo_aplicacaofungicida*trigo_operacaomecanizada_aplicacaofungicida_repeticoes,0),IF(trigo_operacaomecanizada_aplicacaoherbicida="Sim",c_horamaquina_trigo_aplicacaoherbicida*trigo_operacaomecanizada_aplicacaoherbicida_repeticoes,0),IF(trigo_operacaomecanizada_aplicacaoinseticida="Sim",c_horamaquina_trigo_aplicacaoinseticida*trigo_operacaomecanizada_aplicacaoinseticida_repeticoes,0),IF(trigo_operacaomecanizada_colheita="Sim",c_horamaquina_trigo_colheita*trigo_operacaomecanizada_colheita_repeticoes,0),IF(trigo_operacaomecanizada_plantio="Sim",c_horamaquina_trigo_plantio*trigo_operacaomecanizada_plantio_repeticoes,0))*c_mecanizacao_n2o*20*(mistura_diesel_trigo/100)*trigo_areacultivada,0))),"-",IF(trigo_tipoconsumocombustivel="Quantidade consumida",(trigo_consumodiesel*(mistura_diesel_trigo/100))*c_mecanizacao_n2o,IF(trigo_tipoconsumocombustivel="Operações mecanizadas",SUM(IF(trigo_operacaomecanizada_aplicacaofungicida="Sim",c_horamaquina_trigo_aplicacaofungicida*trigo_operacaomecanizada_aplicacaofungicida_repeticoes,0),IF(trigo_operacaomecanizada_aplicacaoherbicida="Sim",c_horamaquina_trigo_aplicacaoherbicida*trigo_operacaomecanizada_aplicacaoherbicida_repeticoes,0),IF(trigo_operacaomecanizada_aplicacaoinseticida="Sim",c_horamaquina_trigo_aplicacaoinseticida*trigo_operacaomecanizada_aplicacaoinseticida_repeticoes,0),IF(trigo_operacaomecanizada_colheita="Sim",c_horamaquina_trigo_colheita*trigo_operacaomecanizada_colheita_repeticoes,0),IF(trigo_operacaomecanizada_plantio="Sim",c_horamaquina_trigo_plantio*trigo_operacaomecanizada_plantio_repeticoes,0))*c_mecanizacao_n2o*20*(mistura_diesel_trigo/100)*trigo_areacultivada,0)))</f>
        <v>0</v>
      </c>
      <c r="H172" s="127">
        <f>IF(ISERROR(IF(trigo_tipoconsumocombustivel="Quantidade consumida",(trigo_consumodiesel*(mistura_diesel_trigo/100))*c_mecanizacao_ch4,IF(trigo_tipoconsumocombustivel="Operações mecanizadas",SUM(IF(trigo_operacaomecanizada_aplicacaofungicida="Sim",c_horamaquina_trigo_aplicacaofungicida*trigo_operacaomecanizada_aplicacaofungicida_repeticoes,0),IF(trigo_operacaomecanizada_aplicacaoherbicida="Sim",c_horamaquina_trigo_aplicacaoherbicida*trigo_operacaomecanizada_aplicacaoherbicida_repeticoes,0),IF(trigo_operacaomecanizada_aplicacaoinseticida="Sim",c_horamaquina_trigo_aplicacaoinseticida*trigo_operacaomecanizada_aplicacaoinseticida_repeticoes,0),IF(trigo_operacaomecanizada_colheita="Sim",c_horamaquina_trigo_colheita*trigo_operacaomecanizada_colheita_repeticoes,0),IF(trigo_operacaomecanizada_plantio="Sim",c_horamaquina_trigo_plantio*trigo_operacaomecanizada_plantio_repeticoes,0))*c_mecanizacao_ch4*20*(mistura_diesel_trigo/100)*trigo_areacultivada,0))),"-",IF(trigo_tipoconsumocombustivel="Quantidade consumida",(trigo_consumodiesel*(mistura_diesel_trigo/100))*c_mecanizacao_ch4,IF(trigo_tipoconsumocombustivel="Operações mecanizadas",SUM(IF(trigo_operacaomecanizada_aplicacaofungicida="Sim",c_horamaquina_trigo_aplicacaofungicida*trigo_operacaomecanizada_aplicacaofungicida_repeticoes,0),IF(trigo_operacaomecanizada_aplicacaoherbicida="Sim",c_horamaquina_trigo_aplicacaoherbicida*trigo_operacaomecanizada_aplicacaoherbicida_repeticoes,0),IF(trigo_operacaomecanizada_aplicacaoinseticida="Sim",c_horamaquina_trigo_aplicacaoinseticida*trigo_operacaomecanizada_aplicacaoinseticida_repeticoes,0),IF(trigo_operacaomecanizada_colheita="Sim",c_horamaquina_trigo_colheita*trigo_operacaomecanizada_colheita_repeticoes,0),IF(trigo_operacaomecanizada_plantio="Sim",c_horamaquina_trigo_plantio*trigo_operacaomecanizada_plantio_repeticoes,0))*c_mecanizacao_ch4*20*(mistura_diesel_trigo/100)*trigo_areacultivada,0)))</f>
        <v>0</v>
      </c>
      <c r="I172" s="121">
        <f t="shared" si="6"/>
        <v>0</v>
      </c>
      <c r="J172" s="139"/>
    </row>
    <row r="173" spans="1:18" hidden="1" outlineLevel="1">
      <c r="A173" s="43"/>
      <c r="B173" s="130" t="s">
        <v>151</v>
      </c>
      <c r="C173" s="130" t="s">
        <v>213</v>
      </c>
      <c r="D173" s="130" t="s">
        <v>99</v>
      </c>
      <c r="E173" s="131" t="s">
        <v>225</v>
      </c>
      <c r="F173" s="132">
        <f>IF(ISERROR((c_emissaoexterna_fungicida*trigo_aplicacaofungicida)+(c_emissaoexterna_herbicida*trigo_aplicacaoherbicida)+(c_emissaoexterna_inseticida*trigo_aplicacaoinseticida)),"-",(c_emissaoexterna_fungicida*trigo_aplicacaofungicida)+(c_emissaoexterna_herbicida*trigo_aplicacaoherbicida)+(c_emissaoexterna_inseticida*trigo_aplicacaoinseticida))</f>
        <v>0</v>
      </c>
      <c r="G173" s="133"/>
      <c r="H173" s="134"/>
      <c r="I173" s="132">
        <f t="shared" si="6"/>
        <v>0</v>
      </c>
      <c r="J173" s="139"/>
    </row>
    <row r="174" spans="1:18" hidden="1" outlineLevel="1">
      <c r="A174" s="43"/>
      <c r="B174" s="380" t="s">
        <v>260</v>
      </c>
      <c r="C174" s="381"/>
      <c r="D174" s="135" t="s">
        <v>51</v>
      </c>
      <c r="E174" s="136" t="s">
        <v>225</v>
      </c>
      <c r="F174" s="137">
        <f>IF(ISERROR(IF(trigo_tempoadocaosistema="Menor ou igual a 20 anos",trigo_areacultivada*(c_mudancausosolo_trigo*-1),0)),"-",IF(trigo_tempoadocaosistema="Menor ou igual a 20 anos",trigo_areacultivada*(c_mudancausosolo_trigo*-1),0))</f>
        <v>0</v>
      </c>
      <c r="G174" s="138"/>
      <c r="H174" s="139"/>
      <c r="I174" s="140">
        <f t="shared" si="6"/>
        <v>0</v>
      </c>
      <c r="J174" s="141">
        <f>IF(ISERROR(IF(F174&lt;0,F174*-1,0)+IF(G174*pag_n2o&lt;0,G174*pag_n2o*-1,0)+IF(H174*pag_ch4&lt;0,H174*pag_ch4*-1,0)),"-",IF(F174&lt;0,F174*-1,0)+IF(G174*pag_n2o&lt;0,G174*pag_n2o*-1,0)+IF(H174*pag_ch4&lt;0,H174*pag_ch4*-1,0))</f>
        <v>0</v>
      </c>
    </row>
    <row r="175" spans="1:18" ht="13.5" hidden="1" outlineLevel="1" thickBot="1">
      <c r="A175" s="43"/>
      <c r="B175" s="382"/>
      <c r="C175" s="383"/>
      <c r="D175" s="135" t="s">
        <v>440</v>
      </c>
      <c r="E175" s="142" t="s">
        <v>225</v>
      </c>
      <c r="F175" s="143">
        <f>IF(ISERROR(IF(trigo_tipoconsumocombustivel="Quantidade consumida",(trigo_consumodiesel*(1-(mistura_diesel_trigo/100)))*c_emissao_biodiesel,IF(trigo_tipoconsumocombustivel="Operações mecanizadas",SUM(IF(trigo_operacaomecanizada_aplicacaofungicida="Sim",c_horamaquina_trigo_aplicacaofungicida*trigo_operacaomecanizada_aplicacaofungicida_repeticoes,0),IF(trigo_operacaomecanizada_aplicacaoherbicida="Sim",c_horamaquina_trigo_aplicacaoherbicida*trigo_operacaomecanizada_aplicacaoherbicida_repeticoes,0),IF(trigo_operacaomecanizada_aplicacaoinseticida="Sim",c_horamaquina_trigo_aplicacaoinseticida*trigo_operacaomecanizada_aplicacaoinseticida_repeticoes,0),IF(trigo_operacaomecanizada_colheita="Sim",c_horamaquina_trigo_colheita*trigo_operacaomecanizada_colheita_repeticoes,0),IF(trigo_operacaomecanizada_plantio="Sim",c_horamaquina_trigo_plantio*trigo_operacaomecanizada_plantio_repeticoes,0))*c_emissao_biodiesel*20*(1-(mistura_diesel_trigo/100))*trigo_areacultivada,0))),"-",IF(trigo_tipoconsumocombustivel="Quantidade consumida",(trigo_consumodiesel*(1-(mistura_diesel_trigo/100)))*c_emissao_biodiesel,IF(trigo_tipoconsumocombustivel="Operações mecanizadas",SUM(IF(trigo_operacaomecanizada_aplicacaofungicida="Sim",c_horamaquina_trigo_aplicacaofungicida*trigo_operacaomecanizada_aplicacaofungicida_repeticoes,0),IF(trigo_operacaomecanizada_aplicacaoherbicida="Sim",c_horamaquina_trigo_aplicacaoherbicida*trigo_operacaomecanizada_aplicacaoherbicida_repeticoes,0),IF(trigo_operacaomecanizada_aplicacaoinseticida="Sim",c_horamaquina_trigo_aplicacaoinseticida*trigo_operacaomecanizada_aplicacaoinseticida_repeticoes,0),IF(trigo_operacaomecanizada_colheita="Sim",c_horamaquina_trigo_colheita*trigo_operacaomecanizada_colheita_repeticoes,0),IF(trigo_operacaomecanizada_plantio="Sim",c_horamaquina_trigo_plantio*trigo_operacaomecanizada_plantio_repeticoes,0))*c_emissao_biodiesel*20*(1-(mistura_diesel_trigo/100))*trigo_areacultivada,0)))</f>
        <v>0</v>
      </c>
      <c r="G175" s="144"/>
      <c r="H175" s="145"/>
      <c r="I175" s="146">
        <f t="shared" si="6"/>
        <v>0</v>
      </c>
      <c r="J175" s="145"/>
    </row>
    <row r="176" spans="1:18" hidden="1" outlineLevel="1">
      <c r="A176" s="43"/>
      <c r="B176" s="148"/>
      <c r="C176" s="149"/>
      <c r="D176" s="149"/>
      <c r="E176" s="150" t="s">
        <v>438</v>
      </c>
      <c r="F176" s="151">
        <f>IF(ISERROR(SUMIF(F163:F175,"&gt;=0")),"-",SUMIF(F163:F175,"&gt;=0"))</f>
        <v>0</v>
      </c>
      <c r="G176" s="152">
        <f t="shared" ref="G176" si="7">IF(ISERROR(SUMIF(G163:G175,"&gt;=0")),"-",SUMIF(G163:G175,"&gt;=0"))</f>
        <v>0</v>
      </c>
      <c r="H176" s="153">
        <f t="shared" ref="H176:J176" si="8">IF(ISERROR(SUMIF(H163:H175,"&gt;=0")),"-",SUMIF(H163:H175,"&gt;=0"))</f>
        <v>0</v>
      </c>
      <c r="I176" s="151">
        <f>IF(ISERROR(SUMIF(I163:I175,"&gt;=0")),"-",SUMIF(I163:I175,"&gt;=0"))</f>
        <v>0</v>
      </c>
      <c r="J176" s="154">
        <f t="shared" si="8"/>
        <v>0</v>
      </c>
    </row>
    <row r="177" spans="1:19" ht="15.75" hidden="1" outlineLevel="1">
      <c r="A177" s="43"/>
      <c r="B177" s="155"/>
      <c r="C177" s="156"/>
      <c r="D177" s="156"/>
      <c r="E177" s="157" t="s">
        <v>455</v>
      </c>
      <c r="F177" s="158">
        <f>IF(ISERROR(F176),"-",F176)</f>
        <v>0</v>
      </c>
      <c r="G177" s="159">
        <f>IF(ISERROR(G176*pag_n2o),"-",G176*pag_n2o)</f>
        <v>0</v>
      </c>
      <c r="H177" s="160">
        <f>IF(ISERROR(H176*pag_ch4),"-",H176*pag_ch4)</f>
        <v>0</v>
      </c>
      <c r="I177" s="187"/>
      <c r="J177" s="124"/>
    </row>
    <row r="178" spans="1:19" ht="13.5" hidden="1" outlineLevel="1" thickBot="1">
      <c r="A178" s="43"/>
      <c r="B178" s="163"/>
      <c r="C178" s="164"/>
      <c r="D178" s="164"/>
      <c r="E178" s="165" t="s">
        <v>443</v>
      </c>
      <c r="F178" s="166">
        <f>IF(ISERROR(SUMIF(F163:F175,"&lt;0")*-1),"-",SUMIF(F163:F175,"&lt;0")*-1)</f>
        <v>0</v>
      </c>
      <c r="G178" s="167"/>
      <c r="H178" s="168"/>
      <c r="I178" s="191"/>
      <c r="J178" s="168"/>
    </row>
    <row r="179" spans="1:19" hidden="1" outlineLevel="1">
      <c r="B179" s="43"/>
      <c r="C179" s="43"/>
      <c r="D179" s="43"/>
      <c r="E179" s="43"/>
      <c r="F179" s="43"/>
      <c r="G179" s="43"/>
      <c r="H179" s="43"/>
      <c r="I179" s="43"/>
      <c r="J179" s="43"/>
      <c r="S179" s="43"/>
    </row>
    <row r="180" spans="1:19" hidden="1" outlineLevel="1">
      <c r="B180" s="367" t="s">
        <v>524</v>
      </c>
      <c r="C180" s="367"/>
      <c r="D180" s="367"/>
      <c r="E180" s="43"/>
      <c r="F180" s="43"/>
      <c r="G180" s="43"/>
      <c r="H180" s="43"/>
      <c r="I180" s="43"/>
      <c r="J180" s="43"/>
      <c r="S180" s="43"/>
    </row>
    <row r="181" spans="1:19" ht="15.75" hidden="1" outlineLevel="1">
      <c r="B181" s="171"/>
      <c r="C181" s="172" t="s">
        <v>525</v>
      </c>
      <c r="D181" s="172" t="s">
        <v>526</v>
      </c>
      <c r="E181" s="43"/>
      <c r="F181" s="43"/>
      <c r="G181" s="43"/>
      <c r="H181" s="43"/>
      <c r="I181" s="43"/>
      <c r="J181" s="43"/>
      <c r="S181" s="43"/>
    </row>
    <row r="182" spans="1:19" hidden="1" outlineLevel="1">
      <c r="B182" s="173" t="s">
        <v>109</v>
      </c>
      <c r="C182" s="174">
        <f>IF(ISERROR(trigo_areaqueimaresiduos*trigo_produtividademedia*c_queimaresiduotrigo_co),"-",trigo_areaqueimaresiduos*trigo_produtividademedia*c_queimaresiduotrigo_co)</f>
        <v>0</v>
      </c>
      <c r="D182" s="174">
        <f>IF(ISERROR(C182*conversor_co_co2),"-",C182*conversor_co_co2)</f>
        <v>0</v>
      </c>
      <c r="E182" s="43"/>
      <c r="F182" s="43"/>
      <c r="G182" s="43"/>
      <c r="H182" s="43"/>
      <c r="I182" s="43"/>
      <c r="J182" s="43"/>
      <c r="S182" s="43"/>
    </row>
    <row r="183" spans="1:19" ht="15.75" hidden="1" outlineLevel="1">
      <c r="B183" s="173" t="s">
        <v>253</v>
      </c>
      <c r="C183" s="174">
        <f>IF(ISERROR(trigo_areaqueimaresiduos*trigo_produtividademedia*c_queimaresiduotrigo_nox),"-",trigo_areaqueimaresiduos*trigo_produtividademedia*c_queimaresiduotrigo_nox)</f>
        <v>0</v>
      </c>
      <c r="D183" s="174">
        <f>IF(ISERROR(conversor_no2_n2o*C183*pag_n2o),"-",conversor_no2_n2o*C183*pag_n2o)</f>
        <v>0</v>
      </c>
      <c r="E183" s="43"/>
      <c r="F183" s="43"/>
      <c r="G183" s="43"/>
      <c r="H183" s="43"/>
      <c r="I183" s="43"/>
      <c r="J183" s="43"/>
      <c r="S183" s="43"/>
    </row>
    <row r="184" spans="1:19">
      <c r="B184" s="43"/>
      <c r="C184" s="43"/>
      <c r="D184" s="43"/>
      <c r="E184" s="43"/>
      <c r="F184" s="43"/>
      <c r="G184" s="43"/>
      <c r="H184" s="43"/>
      <c r="I184" s="43"/>
      <c r="J184" s="43"/>
      <c r="S184" s="43"/>
    </row>
    <row r="185" spans="1:19" collapsed="1">
      <c r="A185" s="100"/>
      <c r="B185" s="368" t="s">
        <v>24</v>
      </c>
      <c r="C185" s="368"/>
      <c r="D185" s="368"/>
      <c r="E185" s="368"/>
      <c r="F185" s="368"/>
      <c r="G185" s="368"/>
      <c r="H185" s="368"/>
      <c r="I185" s="368"/>
      <c r="J185" s="369"/>
      <c r="Q185" s="43"/>
      <c r="R185" s="43"/>
      <c r="S185" s="43"/>
    </row>
    <row r="186" spans="1:19" hidden="1" outlineLevel="1">
      <c r="A186" s="43"/>
      <c r="F186" s="43"/>
      <c r="G186" s="43"/>
      <c r="H186" s="43"/>
      <c r="I186" s="43"/>
      <c r="J186" s="24"/>
      <c r="Q186" s="43"/>
      <c r="R186" s="43"/>
      <c r="S186" s="43"/>
    </row>
    <row r="187" spans="1:19" hidden="1" outlineLevel="1">
      <c r="A187" s="43"/>
      <c r="B187" s="379" t="s">
        <v>445</v>
      </c>
      <c r="C187" s="379"/>
      <c r="D187" s="379"/>
      <c r="E187" s="379"/>
      <c r="F187" s="43"/>
      <c r="G187" s="43"/>
      <c r="H187" s="43"/>
      <c r="I187" s="43"/>
      <c r="J187" s="43"/>
      <c r="Q187" s="43"/>
      <c r="R187" s="43"/>
      <c r="S187" s="43"/>
    </row>
    <row r="188" spans="1:19" ht="28.5" hidden="1" outlineLevel="1">
      <c r="A188" s="43"/>
      <c r="B188" s="101"/>
      <c r="C188" s="102" t="s">
        <v>386</v>
      </c>
      <c r="D188" s="102" t="s">
        <v>385</v>
      </c>
      <c r="E188" s="102" t="s">
        <v>423</v>
      </c>
      <c r="F188" s="43"/>
      <c r="G188" s="43"/>
      <c r="H188" s="43"/>
      <c r="I188" s="43"/>
      <c r="J188" s="43"/>
      <c r="Q188" s="24"/>
      <c r="R188" s="24"/>
    </row>
    <row r="189" spans="1:19" hidden="1" outlineLevel="1">
      <c r="A189" s="43"/>
      <c r="B189" s="103" t="s">
        <v>105</v>
      </c>
      <c r="C189" s="104">
        <f>IF(ISERROR(SUM(I198:I205)),"-",SUM(I198:I205))</f>
        <v>0</v>
      </c>
      <c r="D189" s="104" t="str">
        <f>IF(ISERROR(C189/arroz_areacultivada),"-",C189/arroz_areacultivada)</f>
        <v>-</v>
      </c>
      <c r="E189" s="104" t="str">
        <f>IF(ISERROR(C189/(arroz_areacultivada*arroz_produtividademedia)),"-",C189/(arroz_areacultivada*arroz_produtividademedia))</f>
        <v>-</v>
      </c>
      <c r="F189" s="43"/>
      <c r="G189" s="43"/>
      <c r="H189" s="43"/>
      <c r="I189" s="43"/>
      <c r="J189" s="43"/>
      <c r="Q189" s="24"/>
      <c r="R189" s="24"/>
    </row>
    <row r="190" spans="1:19" hidden="1" outlineLevel="1">
      <c r="A190" s="43"/>
      <c r="B190" s="105" t="s">
        <v>151</v>
      </c>
      <c r="C190" s="106">
        <f>IF(ISERROR(I206),"-",I206)</f>
        <v>0</v>
      </c>
      <c r="D190" s="106" t="str">
        <f>IF(ISERROR(C190/arroz_areacultivada),"-",C190/arroz_areacultivada)</f>
        <v>-</v>
      </c>
      <c r="E190" s="106" t="str">
        <f>IF(ISERROR(C190/(arroz_areacultivada*arroz_produtividademedia)),"-",C190/(arroz_areacultivada*arroz_produtividademedia))</f>
        <v>-</v>
      </c>
      <c r="F190" s="43"/>
      <c r="G190" s="43"/>
      <c r="H190" s="43"/>
      <c r="I190" s="43"/>
      <c r="J190" s="43"/>
      <c r="Q190" s="24"/>
      <c r="R190" s="24"/>
    </row>
    <row r="191" spans="1:19" hidden="1" outlineLevel="1">
      <c r="A191" s="43"/>
      <c r="B191" s="107" t="s">
        <v>173</v>
      </c>
      <c r="C191" s="108">
        <f>IF(ISERROR(SUM(I207:I208)),"-",SUM(I207:I208))</f>
        <v>0</v>
      </c>
      <c r="D191" s="108" t="str">
        <f>IF(ISERROR(C191/arroz_areacultivada),"-",C191/arroz_areacultivada)</f>
        <v>-</v>
      </c>
      <c r="E191" s="108" t="str">
        <f>IF(ISERROR(C191/(arroz_areacultivada*arroz_produtividademedia)),"-",C191/(arroz_areacultivada*arroz_produtividademedia))</f>
        <v>-</v>
      </c>
      <c r="F191" s="43"/>
      <c r="G191" s="43"/>
      <c r="H191" s="43"/>
      <c r="I191" s="43"/>
      <c r="J191" s="43"/>
      <c r="Q191" s="24"/>
      <c r="R191" s="24"/>
    </row>
    <row r="192" spans="1:19" ht="15.75" hidden="1" outlineLevel="1">
      <c r="A192" s="43"/>
      <c r="B192" s="109" t="s">
        <v>422</v>
      </c>
      <c r="C192" s="110">
        <f>IF(ISERROR(J209),"-",J209)</f>
        <v>0</v>
      </c>
      <c r="D192" s="110" t="str">
        <f>IF(ISERROR(C192/arroz_areacultivada),"-",C192/arroz_areacultivada)</f>
        <v>-</v>
      </c>
      <c r="E192" s="110" t="str">
        <f>IF(ISERROR(C192/(arroz_areacultivada*arroz_produtividademedia)),"-",C192/(arroz_areacultivada*arroz_produtividademedia))</f>
        <v>-</v>
      </c>
      <c r="F192" s="43"/>
      <c r="G192" s="43"/>
      <c r="H192" s="43"/>
      <c r="I192" s="43"/>
      <c r="J192" s="43"/>
      <c r="Q192" s="24"/>
      <c r="R192" s="24"/>
    </row>
    <row r="193" spans="1:18" hidden="1" outlineLevel="1">
      <c r="A193" s="43"/>
      <c r="B193" s="111" t="s">
        <v>169</v>
      </c>
      <c r="C193" s="112">
        <f>IF(ISERROR(SUM(C189:C191)-C192),"-",SUM(C189:C191)-C192)</f>
        <v>0</v>
      </c>
      <c r="D193" s="112" t="str">
        <f>IF(ISERROR(C193/arroz_areacultivada),"-",C193/arroz_areacultivada)</f>
        <v>-</v>
      </c>
      <c r="E193" s="112" t="str">
        <f>IF(ISERROR(C193/(arroz_areacultivada*arroz_produtividademedia)),"-",C193/(arroz_areacultivada*arroz_produtividademedia))</f>
        <v>-</v>
      </c>
      <c r="F193" s="43"/>
      <c r="G193" s="43"/>
      <c r="H193" s="43"/>
      <c r="I193" s="43"/>
      <c r="J193" s="43"/>
      <c r="Q193" s="24"/>
      <c r="R193" s="24"/>
    </row>
    <row r="194" spans="1:18" hidden="1" outlineLevel="1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Q194" s="24"/>
      <c r="R194" s="24"/>
    </row>
    <row r="195" spans="1:18" ht="13.5" hidden="1" outlineLevel="1" thickBot="1">
      <c r="A195" s="43"/>
      <c r="B195" s="367" t="s">
        <v>446</v>
      </c>
      <c r="C195" s="367"/>
      <c r="D195" s="367"/>
      <c r="E195" s="367"/>
      <c r="F195" s="367"/>
      <c r="G195" s="367"/>
      <c r="H195" s="367"/>
      <c r="I195" s="367"/>
      <c r="J195" s="367"/>
      <c r="Q195" s="24"/>
      <c r="R195" s="24"/>
    </row>
    <row r="196" spans="1:18" hidden="1" outlineLevel="1">
      <c r="A196" s="43"/>
      <c r="B196" s="113"/>
      <c r="C196" s="114"/>
      <c r="D196" s="114"/>
      <c r="E196" s="114"/>
      <c r="F196" s="370" t="s">
        <v>108</v>
      </c>
      <c r="G196" s="371"/>
      <c r="H196" s="372"/>
      <c r="I196" s="385" t="s">
        <v>456</v>
      </c>
      <c r="J196" s="387" t="s">
        <v>444</v>
      </c>
      <c r="Q196" s="24"/>
      <c r="R196" s="24"/>
    </row>
    <row r="197" spans="1:18" ht="15.75" hidden="1" outlineLevel="1">
      <c r="A197" s="43"/>
      <c r="B197" s="389" t="s">
        <v>259</v>
      </c>
      <c r="C197" s="390"/>
      <c r="D197" s="391"/>
      <c r="E197" s="115" t="s">
        <v>232</v>
      </c>
      <c r="F197" s="116" t="s">
        <v>215</v>
      </c>
      <c r="G197" s="117" t="s">
        <v>217</v>
      </c>
      <c r="H197" s="118" t="s">
        <v>216</v>
      </c>
      <c r="I197" s="386"/>
      <c r="J197" s="388"/>
      <c r="Q197" s="24"/>
      <c r="R197" s="24"/>
    </row>
    <row r="198" spans="1:18" hidden="1" outlineLevel="1">
      <c r="A198" s="43"/>
      <c r="B198" s="373" t="s">
        <v>105</v>
      </c>
      <c r="C198" s="376" t="s">
        <v>168</v>
      </c>
      <c r="D198" s="119" t="s">
        <v>255</v>
      </c>
      <c r="E198" s="120" t="s">
        <v>225</v>
      </c>
      <c r="F198" s="121">
        <f>IF(ISERROR(c_co2_ureia*arroz_aplicacaoureia),"-",c_co2_ureia*arroz_aplicacaoureia)</f>
        <v>0</v>
      </c>
      <c r="G198" s="122">
        <f>IF(ISERROR(c_n2o_fertilizantesintetico*((arroz_aplicacaoureia*45)/100)),"-",c_n2o_fertilizantesintetico*((arroz_aplicacaoureia*45)/100))</f>
        <v>0</v>
      </c>
      <c r="H198" s="123"/>
      <c r="I198" s="121">
        <f t="shared" ref="I198:I208" si="9">IF(ISERROR(IF(F198&gt;=0,F198,0)+IF(G198*pag_n2o&gt;=0,G198*pag_n2o,0)+IF(H198*pag_ch4&gt;=0,H198*pag_ch4,0)),"-",IF(F198&gt;=0,F198,0)+IF(G198*pag_n2o&gt;=0,G198*pag_n2o,0)+IF(H198*pag_ch4&gt;=0,H198*pag_ch4,0))</f>
        <v>0</v>
      </c>
      <c r="J198" s="139"/>
      <c r="Q198" s="24"/>
      <c r="R198" s="24"/>
    </row>
    <row r="199" spans="1:18" hidden="1" outlineLevel="1">
      <c r="A199" s="43"/>
      <c r="B199" s="374"/>
      <c r="C199" s="377"/>
      <c r="D199" s="119" t="s">
        <v>6</v>
      </c>
      <c r="E199" s="120" t="s">
        <v>225</v>
      </c>
      <c r="F199" s="121">
        <f>IF(ISERROR((arroz_calcariocalcitico*c_co2_calcariocalcitico)+(arroz_calcariodolomitico*c_co2_calcariodolomitico)),"-",(arroz_calcariocalcitico*c_co2_calcariocalcitico)+(arroz_calcariodolomitico*c_co2_calcariodolomitico))</f>
        <v>0</v>
      </c>
      <c r="G199" s="125"/>
      <c r="H199" s="123"/>
      <c r="I199" s="121">
        <f t="shared" si="9"/>
        <v>0</v>
      </c>
      <c r="J199" s="139"/>
      <c r="Q199" s="24"/>
      <c r="R199" s="24"/>
    </row>
    <row r="200" spans="1:18" hidden="1" outlineLevel="1">
      <c r="A200" s="43"/>
      <c r="B200" s="374"/>
      <c r="C200" s="377"/>
      <c r="D200" s="119" t="s">
        <v>49</v>
      </c>
      <c r="E200" s="120" t="s">
        <v>243</v>
      </c>
      <c r="F200" s="126"/>
      <c r="G200" s="122">
        <f>IF(ISERROR(c_n2o_fertilizantesintetico*((arroz_adubacaonitrogenadasintetica*arroz_nadubosintetico)/100)),"-",c_n2o_fertilizantesintetico*((arroz_adubacaonitrogenadasintetica*arroz_nadubosintetico)/100))</f>
        <v>0</v>
      </c>
      <c r="H200" s="123"/>
      <c r="I200" s="121">
        <f t="shared" si="9"/>
        <v>0</v>
      </c>
      <c r="J200" s="139"/>
      <c r="Q200" s="24"/>
      <c r="R200" s="24"/>
    </row>
    <row r="201" spans="1:18" hidden="1" outlineLevel="1">
      <c r="A201" s="43"/>
      <c r="B201" s="374"/>
      <c r="C201" s="377"/>
      <c r="D201" s="119" t="s">
        <v>363</v>
      </c>
      <c r="E201" s="120" t="s">
        <v>225</v>
      </c>
      <c r="F201" s="126"/>
      <c r="G201" s="122">
        <f>IF(ISERROR(arroz_areaqueimaresiduos*arroz_produtividademedia*c_queimaresiduoarroz_n2o),"-",arroz_areaqueimaresiduos*arroz_produtividademedia*c_queimaresiduoarroz_n2o)</f>
        <v>0</v>
      </c>
      <c r="H201" s="127">
        <f>IF(ISERROR(arroz_areaqueimaresiduos*arroz_produtividademedia*c_queimaresiduoarroz_ch4),"-",arroz_areaqueimaresiduos*arroz_produtividademedia*c_queimaresiduoarroz_ch4)</f>
        <v>0</v>
      </c>
      <c r="I201" s="121">
        <f t="shared" si="9"/>
        <v>0</v>
      </c>
      <c r="J201" s="139"/>
    </row>
    <row r="202" spans="1:18" hidden="1" outlineLevel="1">
      <c r="A202" s="43"/>
      <c r="B202" s="374"/>
      <c r="C202" s="377"/>
      <c r="D202" s="119" t="s">
        <v>362</v>
      </c>
      <c r="E202" s="120" t="s">
        <v>225</v>
      </c>
      <c r="F202" s="126"/>
      <c r="G202" s="122">
        <f>IF(ISERROR((arroz_produtividademedia*arroz_areacultivada*c_residuoarroz_n2o)+(arroz_adubacaoverdegraminea*c_residuoadubacaoverdegraminea_n2o)+(arroz_adubacaoverdeleguminosa*c_residuoadubacaoverdeleguminosa_n2o)+(arroz_adubacaoverdeoutros*c_residuoadubacaoverdeoutros_n2o)),"-",(arroz_produtividademedia*arroz_areacultivada*c_residuoarroz_n2o)+(arroz_adubacaoverdegraminea*c_residuoadubacaoverdegraminea_n2o)+(arroz_adubacaoverdeleguminosa*c_residuoadubacaoverdeleguminosa_n2o)+(arroz_adubacaoverdeoutros*c_residuoadubacaoverdeoutros_n2o))</f>
        <v>0</v>
      </c>
      <c r="H202" s="123"/>
      <c r="I202" s="121">
        <f t="shared" si="9"/>
        <v>0</v>
      </c>
      <c r="J202" s="139"/>
    </row>
    <row r="203" spans="1:18" hidden="1" outlineLevel="1">
      <c r="A203" s="43"/>
      <c r="B203" s="374"/>
      <c r="C203" s="377"/>
      <c r="D203" s="128" t="s">
        <v>257</v>
      </c>
      <c r="E203" s="120" t="s">
        <v>225</v>
      </c>
      <c r="F203" s="121">
        <f>IF(ISERROR(arroz_cultivosoloorganico*c_co2eq_cultivosolosorganicos),"-",arroz_cultivosoloorganico*c_co2eq_cultivosolosorganicos)</f>
        <v>0</v>
      </c>
      <c r="G203" s="122">
        <f>IF(ISERROR(arroz_cultivosoloorganico*c_n2o_perdanitrogenio),"-",arroz_cultivosoloorganico*c_n2o_perdanitrogenio)</f>
        <v>0</v>
      </c>
      <c r="H203" s="123"/>
      <c r="I203" s="121">
        <f t="shared" si="9"/>
        <v>0</v>
      </c>
      <c r="J203" s="139"/>
    </row>
    <row r="204" spans="1:18" hidden="1" outlineLevel="1">
      <c r="A204" s="43"/>
      <c r="B204" s="374"/>
      <c r="C204" s="378"/>
      <c r="D204" s="128" t="s">
        <v>50</v>
      </c>
      <c r="E204" s="120" t="s">
        <v>469</v>
      </c>
      <c r="F204" s="126"/>
      <c r="G204" s="125"/>
      <c r="H204" s="127" t="str">
        <f>IF(ISERROR(IF(arroz_materiaorganicafermentada="Sim",c_arroz_sfo/6,c_arroz_sfo)*c_arroz_sfw*c_arroz_fec),"-",IF(arroz_materiaorganicafermentada="Sim",c_arroz_sfo/6,c_arroz_sfo)*c_arroz_sfw*c_arroz_fec)</f>
        <v>-</v>
      </c>
      <c r="I204" s="121" t="str">
        <f t="shared" si="9"/>
        <v>-</v>
      </c>
      <c r="J204" s="139"/>
    </row>
    <row r="205" spans="1:18" hidden="1" outlineLevel="1">
      <c r="A205" s="43"/>
      <c r="B205" s="375"/>
      <c r="C205" s="129" t="s">
        <v>106</v>
      </c>
      <c r="D205" s="119" t="s">
        <v>93</v>
      </c>
      <c r="E205" s="120" t="s">
        <v>225</v>
      </c>
      <c r="F205" s="121">
        <f>IF(ISERROR(IF(arroz_tipoconsumocombustivel="Quantidade consumida",(arroz_consumodiesel*(mistura_diesel_arroz/100))*c_mecanizacao_co2,IF(arroz_tipoconsumocombustivel="Operações mecanizadas",SUM(IF(arroz_operacaomecanizada_adubacaodecobertura="Sim",c_horamaquina_arroz_adubacaodecobertura*arroz_operacaomecanizada_adubacaodecobertura_repeticoes,0),IF(arroz_operacaomecanizada_aplicacaodeherbicidapreemergente="Sim",c_horamaquina_arroz_aplicacaoherbicidapreemergente*arroz_operacaomecanizada_aplicacaodeherbicidapreemergente_repeticoes,0),IF(arroz_operacaomecanizada_calagem="Sim",c_horamaquina_arroz_calagem*arroz_operacaomecanizada_calagem_repeticoes,0),IF(arroz_operacaomecanizada_colheita="Sim",c_horamaquina_arroz_colheita*arroz_operacaomecanizada_colheita_repeticoes,0),IF(arroz_operacaomecanizada_gradagemaradora="Sim",c_horamaquina_arroz_gradagemaradora*arroz_operacaomecanizada_gradagemaradora_repeticoes,0),IF(arroz_operacaomecanizada_gradagemniveladora="Sim",c_horamaquina_arroz_gradagemniveladora*arroz_operacaomecanizada_gradagemniveladora_repeticoes,0),IF(arroz_operacaomecanizada_plantio="Sim",c_horamaquina_arroz_plantio*arroz_operacaomecanizada_plantio_repeticoes,0),IF(arroz_operacaomecanizada_reformadetaipas="Sim",c_horamaquina_arroz_reformadetaipas*arroz_operacaomecanizada_reformadetaipas_repeticoes,0),IF(arroz_operacaomecanizada_transporteinterno="Sim",c_horamaquina_arroz_transporteinterno*arroz_operacaomecanizada_transporteinterno_repeticoes,0))*c_mecanizacao_co2*20*(mistura_diesel_arroz/100)*arroz_areacultivada,0))),"-",IF(arroz_tipoconsumocombustivel="Quantidade consumida",(arroz_consumodiesel*(mistura_diesel_arroz/100))*c_mecanizacao_co2,IF(arroz_tipoconsumocombustivel="Operações mecanizadas",SUM(IF(arroz_operacaomecanizada_adubacaodecobertura="Sim",c_horamaquina_arroz_adubacaodecobertura*arroz_operacaomecanizada_adubacaodecobertura_repeticoes,0),IF(arroz_operacaomecanizada_aplicacaodeherbicidapreemergente="Sim",c_horamaquina_arroz_aplicacaoherbicidapreemergente*arroz_operacaomecanizada_aplicacaodeherbicidapreemergente_repeticoes,0),IF(arroz_operacaomecanizada_calagem="Sim",c_horamaquina_arroz_calagem*arroz_operacaomecanizada_calagem_repeticoes,0),IF(arroz_operacaomecanizada_colheita="Sim",c_horamaquina_arroz_colheita*arroz_operacaomecanizada_colheita_repeticoes,0),IF(arroz_operacaomecanizada_gradagemaradora="Sim",c_horamaquina_arroz_gradagemaradora*arroz_operacaomecanizada_gradagemaradora_repeticoes,0),IF(arroz_operacaomecanizada_gradagemniveladora="Sim",c_horamaquina_arroz_gradagemniveladora*arroz_operacaomecanizada_gradagemniveladora_repeticoes,0),IF(arroz_operacaomecanizada_plantio="Sim",c_horamaquina_arroz_plantio*arroz_operacaomecanizada_plantio_repeticoes,0),IF(arroz_operacaomecanizada_reformadetaipas="Sim",c_horamaquina_arroz_reformadetaipas*arroz_operacaomecanizada_reformadetaipas_repeticoes,0),IF(arroz_operacaomecanizada_transporteinterno="Sim",c_horamaquina_arroz_transporteinterno*arroz_operacaomecanizada_transporteinterno_repeticoes,0))*c_mecanizacao_co2*20*(mistura_diesel_arroz/100)*arroz_areacultivada,0)))</f>
        <v>0</v>
      </c>
      <c r="G205" s="122">
        <f>IF(ISERROR(IF(arroz_tipoconsumocombustivel="Quantidade consumida",(arroz_consumodiesel*(mistura_diesel_arroz/100))*c_mecanizacao_n2o,IF(arroz_tipoconsumocombustivel="Operações mecanizadas",SUM(IF(arroz_operacaomecanizada_adubacaodecobertura="Sim",c_horamaquina_arroz_adubacaodecobertura*arroz_operacaomecanizada_adubacaodecobertura_repeticoes,0),IF(arroz_operacaomecanizada_aplicacaodeherbicidapreemergente="Sim",c_horamaquina_arroz_aplicacaoherbicidapreemergente*arroz_operacaomecanizada_aplicacaodeherbicidapreemergente_repeticoes,0),IF(arroz_operacaomecanizada_calagem="Sim",c_horamaquina_arroz_calagem*arroz_operacaomecanizada_calagem_repeticoes,0),IF(arroz_operacaomecanizada_colheita="Sim",c_horamaquina_arroz_colheita*arroz_operacaomecanizada_colheita_repeticoes,0),IF(arroz_operacaomecanizada_gradagemaradora="Sim",c_horamaquina_arroz_gradagemaradora*arroz_operacaomecanizada_gradagemaradora_repeticoes,0),IF(arroz_operacaomecanizada_gradagemniveladora="Sim",c_horamaquina_arroz_gradagemniveladora*arroz_operacaomecanizada_gradagemniveladora_repeticoes,0),IF(arroz_operacaomecanizada_plantio="Sim",c_horamaquina_arroz_plantio*arroz_operacaomecanizada_plantio_repeticoes,0),IF(arroz_operacaomecanizada_reformadetaipas="Sim",c_horamaquina_arroz_reformadetaipas*arroz_operacaomecanizada_reformadetaipas_repeticoes,0),IF(arroz_operacaomecanizada_transporteinterno="Sim",c_horamaquina_arroz_transporteinterno*arroz_operacaomecanizada_transporteinterno_repeticoes,0))*c_mecanizacao_n2o*20*(mistura_diesel_arroz/100)*arroz_areacultivada,0))),"-",IF(arroz_tipoconsumocombustivel="Quantidade consumida",(arroz_consumodiesel*(mistura_diesel_arroz/100))*c_mecanizacao_n2o,IF(arroz_tipoconsumocombustivel="Operações mecanizadas",SUM(IF(arroz_operacaomecanizada_adubacaodecobertura="Sim",c_horamaquina_arroz_adubacaodecobertura*arroz_operacaomecanizada_adubacaodecobertura_repeticoes,0),IF(arroz_operacaomecanizada_aplicacaodeherbicidapreemergente="Sim",c_horamaquina_arroz_aplicacaoherbicidapreemergente*arroz_operacaomecanizada_aplicacaodeherbicidapreemergente_repeticoes,0),IF(arroz_operacaomecanizada_calagem="Sim",c_horamaquina_arroz_calagem*arroz_operacaomecanizada_calagem_repeticoes,0),IF(arroz_operacaomecanizada_colheita="Sim",c_horamaquina_arroz_colheita*arroz_operacaomecanizada_colheita_repeticoes,0),IF(arroz_operacaomecanizada_gradagemaradora="Sim",c_horamaquina_arroz_gradagemaradora*arroz_operacaomecanizada_gradagemaradora_repeticoes,0),IF(arroz_operacaomecanizada_gradagemniveladora="Sim",c_horamaquina_arroz_gradagemniveladora*arroz_operacaomecanizada_gradagemniveladora_repeticoes,0),IF(arroz_operacaomecanizada_plantio="Sim",c_horamaquina_arroz_plantio*arroz_operacaomecanizada_plantio_repeticoes,0),IF(arroz_operacaomecanizada_reformadetaipas="Sim",c_horamaquina_arroz_reformadetaipas*arroz_operacaomecanizada_reformadetaipas_repeticoes,0),IF(arroz_operacaomecanizada_transporteinterno="Sim",c_horamaquina_arroz_transporteinterno*arroz_operacaomecanizada_transporteinterno_repeticoes,0))*c_mecanizacao_n2o*20*(mistura_diesel_arroz/100)*arroz_areacultivada,0)))</f>
        <v>0</v>
      </c>
      <c r="H205" s="127">
        <f>IF(ISERROR(IF(arroz_tipoconsumocombustivel="Quantidade consumida",(arroz_consumodiesel*(mistura_diesel_arroz/100))*c_mecanizacao_ch4,IF(arroz_tipoconsumocombustivel="Operações mecanizadas",SUM(IF(arroz_operacaomecanizada_adubacaodecobertura="Sim",c_horamaquina_arroz_adubacaodecobertura*arroz_operacaomecanizada_adubacaodecobertura_repeticoes,0),IF(arroz_operacaomecanizada_aplicacaodeherbicidapreemergente="Sim",c_horamaquina_arroz_aplicacaoherbicidapreemergente*arroz_operacaomecanizada_aplicacaodeherbicidapreemergente_repeticoes,0),IF(arroz_operacaomecanizada_calagem="Sim",c_horamaquina_arroz_calagem*arroz_operacaomecanizada_calagem_repeticoes,0),IF(arroz_operacaomecanizada_colheita="Sim",c_horamaquina_arroz_colheita*arroz_operacaomecanizada_colheita_repeticoes,0),IF(arroz_operacaomecanizada_gradagemaradora="Sim",c_horamaquina_arroz_gradagemaradora*arroz_operacaomecanizada_gradagemaradora_repeticoes,0),IF(arroz_operacaomecanizada_gradagemniveladora="Sim",c_horamaquina_arroz_gradagemniveladora*arroz_operacaomecanizada_gradagemniveladora_repeticoes,0),IF(arroz_operacaomecanizada_plantio="Sim",c_horamaquina_arroz_plantio*arroz_operacaomecanizada_plantio_repeticoes,0),IF(arroz_operacaomecanizada_reformadetaipas="Sim",c_horamaquina_arroz_reformadetaipas*arroz_operacaomecanizada_reformadetaipas_repeticoes,0),IF(arroz_operacaomecanizada_transporteinterno="Sim",c_horamaquina_arroz_transporteinterno*arroz_operacaomecanizada_transporteinterno_repeticoes,0))*c_mecanizacao_ch4*20*(mistura_diesel_arroz/100)*arroz_areacultivada,0))),"-",IF(arroz_tipoconsumocombustivel="Quantidade consumida",(arroz_consumodiesel*(mistura_diesel_arroz/100))*c_mecanizacao_ch4,IF(arroz_tipoconsumocombustivel="Operações mecanizadas",SUM(IF(arroz_operacaomecanizada_adubacaodecobertura="Sim",c_horamaquina_arroz_adubacaodecobertura*arroz_operacaomecanizada_adubacaodecobertura_repeticoes,0),IF(arroz_operacaomecanizada_aplicacaodeherbicidapreemergente="Sim",c_horamaquina_arroz_aplicacaoherbicidapreemergente*arroz_operacaomecanizada_aplicacaodeherbicidapreemergente_repeticoes,0),IF(arroz_operacaomecanizada_calagem="Sim",c_horamaquina_arroz_calagem*arroz_operacaomecanizada_calagem_repeticoes,0),IF(arroz_operacaomecanizada_colheita="Sim",c_horamaquina_arroz_colheita*arroz_operacaomecanizada_colheita_repeticoes,0),IF(arroz_operacaomecanizada_gradagemaradora="Sim",c_horamaquina_arroz_gradagemaradora*arroz_operacaomecanizada_gradagemaradora_repeticoes,0),IF(arroz_operacaomecanizada_gradagemniveladora="Sim",c_horamaquina_arroz_gradagemniveladora*arroz_operacaomecanizada_gradagemniveladora_repeticoes,0),IF(arroz_operacaomecanizada_plantio="Sim",c_horamaquina_arroz_plantio*arroz_operacaomecanizada_plantio_repeticoes,0),IF(arroz_operacaomecanizada_reformadetaipas="Sim",c_horamaquina_arroz_reformadetaipas*arroz_operacaomecanizada_reformadetaipas_repeticoes,0),IF(arroz_operacaomecanizada_transporteinterno="Sim",c_horamaquina_arroz_transporteinterno*arroz_operacaomecanizada_transporteinterno_repeticoes,0))*c_mecanizacao_ch4*20*(mistura_diesel_arroz/100)*arroz_areacultivada,0)))</f>
        <v>0</v>
      </c>
      <c r="I205" s="121">
        <f t="shared" si="9"/>
        <v>0</v>
      </c>
      <c r="J205" s="139"/>
    </row>
    <row r="206" spans="1:18" hidden="1" outlineLevel="1">
      <c r="A206" s="43"/>
      <c r="B206" s="130" t="s">
        <v>151</v>
      </c>
      <c r="C206" s="130" t="s">
        <v>213</v>
      </c>
      <c r="D206" s="130" t="s">
        <v>99</v>
      </c>
      <c r="E206" s="131" t="s">
        <v>225</v>
      </c>
      <c r="F206" s="132">
        <f>IF(ISERROR((c_emissaoexterna_fungicida*arroz_aplicacaofungicida)+(c_emissaoexterna_herbicida*arroz_aplicacaoherbicida)+(c_emissaoexterna_inseticida*arroz_aplicacaoinseticida)),"-",(c_emissaoexterna_fungicida*arroz_aplicacaofungicida)+(c_emissaoexterna_herbicida*arroz_aplicacaoherbicida)+(c_emissaoexterna_inseticida*arroz_aplicacaoinseticida))</f>
        <v>0</v>
      </c>
      <c r="G206" s="133"/>
      <c r="H206" s="134"/>
      <c r="I206" s="132">
        <f t="shared" si="9"/>
        <v>0</v>
      </c>
      <c r="J206" s="139"/>
    </row>
    <row r="207" spans="1:18" hidden="1" outlineLevel="1">
      <c r="A207" s="43"/>
      <c r="B207" s="380" t="s">
        <v>260</v>
      </c>
      <c r="C207" s="381"/>
      <c r="D207" s="135" t="s">
        <v>51</v>
      </c>
      <c r="E207" s="136" t="s">
        <v>225</v>
      </c>
      <c r="F207" s="137">
        <f>IF(ISERROR(IF(arroz_tempoadocaosistema="Menor ou igual a 20 anos",arroz_areacultivada*(c_mudancausosolo_arroz*-1),0)),"-",IF(arroz_tempoadocaosistema="Menor ou igual a 20 anos",arroz_areacultivada*(c_mudancausosolo_arroz*-1),0))</f>
        <v>0</v>
      </c>
      <c r="G207" s="138"/>
      <c r="H207" s="139"/>
      <c r="I207" s="140">
        <f t="shared" si="9"/>
        <v>0</v>
      </c>
      <c r="J207" s="141">
        <f>IF(ISERROR(IF(F207&lt;0,F207*-1,0)+IF(G207*pag_n2o&lt;0,G207*pag_n2o*-1,0)+IF(H207*pag_ch4&lt;0,H207*pag_ch4*-1,0)),"-",IF(F207&lt;0,F207*-1,0)+IF(G207*pag_n2o&lt;0,G207*pag_n2o*-1,0)+IF(H207*pag_ch4&lt;0,H207*pag_ch4*-1,0))</f>
        <v>0</v>
      </c>
    </row>
    <row r="208" spans="1:18" ht="13.5" hidden="1" outlineLevel="1" thickBot="1">
      <c r="A208" s="43"/>
      <c r="B208" s="382"/>
      <c r="C208" s="383"/>
      <c r="D208" s="135" t="s">
        <v>440</v>
      </c>
      <c r="E208" s="142" t="s">
        <v>225</v>
      </c>
      <c r="F208" s="143">
        <f>IF(ISERROR(IF(arroz_tipoconsumocombustivel="Quantidade consumida",(arroz_consumodiesel*(1-(mistura_diesel_arroz/100)))*c_emissao_biodiesel,IF(arroz_tipoconsumocombustivel="Operações mecanizadas",SUM(IF(arroz_operacaomecanizada_adubacaodecobertura="Sim",c_horamaquina_arroz_adubacaodecobertura*arroz_operacaomecanizada_adubacaodecobertura_repeticoes,0),IF(arroz_operacaomecanizada_aplicacaodeherbicidapreemergente="Sim",c_horamaquina_arroz_aplicacaoherbicidapreemergente*arroz_operacaomecanizada_aplicacaodeherbicidapreemergente_repeticoes,0),IF(arroz_operacaomecanizada_calagem="Sim",c_horamaquina_arroz_calagem*arroz_operacaomecanizada_calagem_repeticoes,0),IF(arroz_operacaomecanizada_colheita="Sim",c_horamaquina_arroz_colheita*arroz_operacaomecanizada_colheita_repeticoes,0),IF(arroz_operacaomecanizada_gradagemaradora="Sim",c_horamaquina_arroz_gradagemaradora*arroz_operacaomecanizada_gradagemaradora_repeticoes,0),IF(arroz_operacaomecanizada_gradagemniveladora="Sim",c_horamaquina_arroz_gradagemniveladora*arroz_operacaomecanizada_gradagemniveladora_repeticoes,0),IF(arroz_operacaomecanizada_plantio="Sim",c_horamaquina_arroz_plantio*arroz_operacaomecanizada_plantio_repeticoes,0),IF(arroz_operacaomecanizada_reformadetaipas="Sim",c_horamaquina_arroz_reformadetaipas*arroz_operacaomecanizada_reformadetaipas_repeticoes,0),IF(arroz_operacaomecanizada_transporteinterno="Sim",c_horamaquina_arroz_transporteinterno*arroz_operacaomecanizada_transporteinterno_repeticoes,0))*c_emissao_biodiesel*20*(1-(mistura_diesel_arroz/100))*arroz_areacultivada,0))),"-",IF(arroz_tipoconsumocombustivel="Quantidade consumida",(arroz_consumodiesel*(1-(mistura_diesel_arroz/100)))*c_emissao_biodiesel,IF(arroz_tipoconsumocombustivel="Operações mecanizadas",SUM(IF(arroz_operacaomecanizada_adubacaodecobertura="Sim",c_horamaquina_arroz_adubacaodecobertura*arroz_operacaomecanizada_adubacaodecobertura_repeticoes,0),IF(arroz_operacaomecanizada_aplicacaodeherbicidapreemergente="Sim",c_horamaquina_arroz_aplicacaoherbicidapreemergente*arroz_operacaomecanizada_aplicacaodeherbicidapreemergente_repeticoes,0),IF(arroz_operacaomecanizada_calagem="Sim",c_horamaquina_arroz_calagem*arroz_operacaomecanizada_calagem_repeticoes,0),IF(arroz_operacaomecanizada_colheita="Sim",c_horamaquina_arroz_colheita*arroz_operacaomecanizada_colheita_repeticoes,0),IF(arroz_operacaomecanizada_gradagemaradora="Sim",c_horamaquina_arroz_gradagemaradora*arroz_operacaomecanizada_gradagemaradora_repeticoes,0),IF(arroz_operacaomecanizada_gradagemniveladora="Sim",c_horamaquina_arroz_gradagemniveladora*arroz_operacaomecanizada_gradagemniveladora_repeticoes,0),IF(arroz_operacaomecanizada_plantio="Sim",c_horamaquina_arroz_plantio*arroz_operacaomecanizada_plantio_repeticoes,0),IF(arroz_operacaomecanizada_reformadetaipas="Sim",c_horamaquina_arroz_reformadetaipas*arroz_operacaomecanizada_reformadetaipas_repeticoes,0),IF(arroz_operacaomecanizada_transporteinterno="Sim",c_horamaquina_arroz_transporteinterno*arroz_operacaomecanizada_transporteinterno_repeticoes,0))*c_emissao_biodiesel*20*(1-(mistura_diesel_arroz/100))*arroz_areacultivada,0)))</f>
        <v>0</v>
      </c>
      <c r="G208" s="144"/>
      <c r="H208" s="145"/>
      <c r="I208" s="146">
        <f t="shared" si="9"/>
        <v>0</v>
      </c>
      <c r="J208" s="145"/>
    </row>
    <row r="209" spans="1:19" hidden="1" outlineLevel="1">
      <c r="A209" s="43"/>
      <c r="B209" s="148"/>
      <c r="C209" s="149"/>
      <c r="D209" s="149"/>
      <c r="E209" s="150" t="s">
        <v>438</v>
      </c>
      <c r="F209" s="151">
        <f>IF(ISERROR(SUMIF(F198:F208,"&gt;=0")),"-",SUMIF(F198:F208,"&gt;=0"))</f>
        <v>0</v>
      </c>
      <c r="G209" s="152">
        <f>IF(ISERROR(SUMIF(G198:G208,"&gt;=0")),"-",SUMIF(G198:G208,"&gt;=0"))</f>
        <v>0</v>
      </c>
      <c r="H209" s="153">
        <f>IF(ISERROR(SUMIF(H198:H208,"&gt;=0")),"-",SUMIF(H198:H208,"&gt;=0"))</f>
        <v>0</v>
      </c>
      <c r="I209" s="151">
        <f>IF(ISERROR(SUMIF(I198:I208,"&gt;=0")),"-",SUMIF(I198:I208,"&gt;=0"))</f>
        <v>0</v>
      </c>
      <c r="J209" s="154">
        <f>IF(ISERROR(SUMIF(J196:J208,"&gt;=0")),"-",SUMIF(J196:J208,"&gt;=0"))</f>
        <v>0</v>
      </c>
    </row>
    <row r="210" spans="1:19" ht="15.75" hidden="1" outlineLevel="1">
      <c r="A210" s="43"/>
      <c r="B210" s="155"/>
      <c r="C210" s="156"/>
      <c r="D210" s="156"/>
      <c r="E210" s="157" t="s">
        <v>455</v>
      </c>
      <c r="F210" s="158">
        <f>IF(ISERROR(F209),"-",F209)</f>
        <v>0</v>
      </c>
      <c r="G210" s="159">
        <f>IF(ISERROR(G209*pag_n2o),"-",G209*pag_n2o)</f>
        <v>0</v>
      </c>
      <c r="H210" s="160">
        <f>IF(ISERROR(H209*pag_ch4),"-",H209*pag_ch4)</f>
        <v>0</v>
      </c>
      <c r="I210" s="187"/>
      <c r="J210" s="124"/>
    </row>
    <row r="211" spans="1:19" ht="13.5" hidden="1" outlineLevel="1" thickBot="1">
      <c r="A211" s="43"/>
      <c r="B211" s="163"/>
      <c r="C211" s="164"/>
      <c r="D211" s="164"/>
      <c r="E211" s="165" t="s">
        <v>443</v>
      </c>
      <c r="F211" s="166">
        <f>IF(ISERROR(SUMIF(F198:F208,"&lt;0")*-1),"-",SUMIF(F198:F208,"&lt;0")*-1)</f>
        <v>0</v>
      </c>
      <c r="G211" s="167"/>
      <c r="H211" s="168"/>
      <c r="I211" s="191"/>
      <c r="J211" s="168"/>
    </row>
    <row r="212" spans="1:19" hidden="1" outlineLevel="1">
      <c r="A212" s="43"/>
      <c r="B212" s="43"/>
      <c r="C212" s="43"/>
      <c r="D212" s="43"/>
      <c r="E212" s="43"/>
      <c r="F212" s="35"/>
      <c r="G212" s="43"/>
      <c r="H212" s="43"/>
      <c r="I212" s="24"/>
      <c r="J212" s="24"/>
    </row>
    <row r="213" spans="1:19" hidden="1" outlineLevel="1">
      <c r="A213" s="43"/>
      <c r="B213" s="367" t="s">
        <v>524</v>
      </c>
      <c r="C213" s="367"/>
      <c r="D213" s="367"/>
      <c r="E213" s="43"/>
      <c r="F213" s="35"/>
      <c r="G213" s="43"/>
      <c r="H213" s="43"/>
      <c r="I213" s="24"/>
      <c r="J213" s="24"/>
    </row>
    <row r="214" spans="1:19" ht="15.75" hidden="1" outlineLevel="1">
      <c r="A214" s="43"/>
      <c r="B214" s="171"/>
      <c r="C214" s="172" t="s">
        <v>525</v>
      </c>
      <c r="D214" s="172" t="s">
        <v>526</v>
      </c>
      <c r="E214" s="43"/>
      <c r="F214" s="35"/>
      <c r="G214" s="43"/>
      <c r="H214" s="43"/>
      <c r="I214" s="24"/>
      <c r="J214" s="24"/>
    </row>
    <row r="215" spans="1:19" hidden="1" outlineLevel="1">
      <c r="A215" s="43"/>
      <c r="B215" s="173" t="s">
        <v>109</v>
      </c>
      <c r="C215" s="174">
        <f>IF(ISERROR(arroz_areaqueimaresiduos*arroz_produtividademedia*c_queimaresiduoarroz_co),"-",arroz_areaqueimaresiduos*arroz_produtividademedia*c_queimaresiduoarroz_co)</f>
        <v>0</v>
      </c>
      <c r="D215" s="174">
        <f>IF(ISERROR(C215*conversor_co_co2),"-",C215*conversor_co_co2)</f>
        <v>0</v>
      </c>
      <c r="E215" s="43"/>
      <c r="F215" s="35"/>
      <c r="G215" s="43"/>
      <c r="H215" s="43"/>
      <c r="I215" s="24"/>
      <c r="J215" s="24"/>
    </row>
    <row r="216" spans="1:19" ht="15.75" hidden="1" outlineLevel="1">
      <c r="A216" s="43"/>
      <c r="B216" s="173" t="s">
        <v>253</v>
      </c>
      <c r="C216" s="174">
        <f>IF(ISERROR(arroz_areaqueimaresiduos*arroz_produtividademedia*c_queimaresiduoarroz_nox),"-",arroz_areaqueimaresiduos*arroz_produtividademedia*c_queimaresiduoarroz_nox)</f>
        <v>0</v>
      </c>
      <c r="D216" s="174">
        <f>IF(ISERROR(conversor_no2_n2o*C216*pag_n2o),"-",conversor_no2_n2o*C216*pag_n2o)</f>
        <v>0</v>
      </c>
      <c r="E216" s="43"/>
      <c r="F216" s="35"/>
      <c r="G216" s="43"/>
      <c r="H216" s="43"/>
      <c r="I216" s="24"/>
      <c r="J216" s="24"/>
    </row>
    <row r="217" spans="1:19">
      <c r="B217" s="43"/>
      <c r="C217" s="43"/>
      <c r="D217" s="43"/>
      <c r="E217" s="43"/>
      <c r="F217" s="43"/>
      <c r="G217" s="43"/>
      <c r="H217" s="43"/>
      <c r="I217" s="43"/>
      <c r="J217" s="43"/>
      <c r="S217" s="43"/>
    </row>
    <row r="218" spans="1:19" collapsed="1">
      <c r="A218" s="100"/>
      <c r="B218" s="368" t="s">
        <v>16</v>
      </c>
      <c r="C218" s="368"/>
      <c r="D218" s="368"/>
      <c r="E218" s="368"/>
      <c r="F218" s="368"/>
      <c r="G218" s="368"/>
      <c r="H218" s="368"/>
      <c r="I218" s="368"/>
      <c r="J218" s="369"/>
    </row>
    <row r="219" spans="1:19" hidden="1" outlineLevel="1"/>
    <row r="220" spans="1:19" hidden="1" outlineLevel="1">
      <c r="A220" s="43"/>
      <c r="B220" s="379" t="s">
        <v>445</v>
      </c>
      <c r="C220" s="379"/>
      <c r="D220" s="379"/>
      <c r="E220" s="379"/>
      <c r="F220" s="43"/>
      <c r="G220" s="43"/>
      <c r="H220" s="43"/>
      <c r="I220" s="43"/>
      <c r="J220" s="24"/>
    </row>
    <row r="221" spans="1:19" ht="28.5" hidden="1" outlineLevel="1">
      <c r="A221" s="43"/>
      <c r="B221" s="101"/>
      <c r="C221" s="102" t="s">
        <v>386</v>
      </c>
      <c r="D221" s="102" t="s">
        <v>385</v>
      </c>
      <c r="E221" s="102" t="s">
        <v>423</v>
      </c>
      <c r="F221" s="43"/>
      <c r="G221" s="24"/>
      <c r="H221" s="24"/>
      <c r="I221" s="24"/>
      <c r="J221" s="24"/>
    </row>
    <row r="222" spans="1:19" hidden="1" outlineLevel="1">
      <c r="A222" s="43"/>
      <c r="B222" s="103" t="s">
        <v>105</v>
      </c>
      <c r="C222" s="104">
        <f>IF(ISERROR(SUM(I231:I240)),"-",SUM(I231:I240))</f>
        <v>0</v>
      </c>
      <c r="D222" s="104" t="str">
        <f>IF(ISERROR(C222/feijao_areacultivada),"-",C222/feijao_areacultivada)</f>
        <v>-</v>
      </c>
      <c r="E222" s="104" t="str">
        <f>IF(ISERROR(C222/(feijao_areacultivada*feijao_produtividademedia)),"-",C222/(feijao_areacultivada*feijao_produtividademedia))</f>
        <v>-</v>
      </c>
      <c r="F222" s="43"/>
      <c r="G222" s="24"/>
      <c r="H222" s="24"/>
      <c r="I222" s="24"/>
      <c r="J222" s="24"/>
      <c r="Q222" s="24"/>
      <c r="R222" s="24"/>
    </row>
    <row r="223" spans="1:19" hidden="1" outlineLevel="1">
      <c r="A223" s="43"/>
      <c r="B223" s="105" t="s">
        <v>151</v>
      </c>
      <c r="C223" s="106">
        <f>IF(ISERROR(I241),"-",I241)</f>
        <v>0</v>
      </c>
      <c r="D223" s="106" t="str">
        <f>IF(ISERROR(C223/feijao_areacultivada),"-",C223/feijao_areacultivada)</f>
        <v>-</v>
      </c>
      <c r="E223" s="106" t="str">
        <f>IF(ISERROR(C223/(feijao_areacultivada*feijao_produtividademedia)),"-",C223/(feijao_areacultivada*feijao_produtividademedia))</f>
        <v>-</v>
      </c>
      <c r="F223" s="43"/>
      <c r="G223" s="24"/>
      <c r="H223" s="24"/>
      <c r="I223" s="24"/>
      <c r="J223" s="24"/>
      <c r="Q223" s="24"/>
      <c r="R223" s="24"/>
    </row>
    <row r="224" spans="1:19" hidden="1" outlineLevel="1">
      <c r="A224" s="43"/>
      <c r="B224" s="107" t="s">
        <v>173</v>
      </c>
      <c r="C224" s="108">
        <f>IF(ISERROR(SUM(I242:I243)),"-",SUM(I242:I243))</f>
        <v>0</v>
      </c>
      <c r="D224" s="108" t="str">
        <f>IF(ISERROR(C224/feijao_areacultivada),"-",C224/feijao_areacultivada)</f>
        <v>-</v>
      </c>
      <c r="E224" s="108" t="str">
        <f>IF(ISERROR(C224/(feijao_areacultivada*feijao_produtividademedia)),"-",C224/(feijao_areacultivada*feijao_produtividademedia))</f>
        <v>-</v>
      </c>
      <c r="F224" s="43"/>
      <c r="G224" s="24"/>
      <c r="H224" s="24"/>
      <c r="I224" s="24"/>
      <c r="J224" s="24"/>
      <c r="Q224" s="24"/>
      <c r="R224" s="24"/>
    </row>
    <row r="225" spans="1:18" ht="15.75" hidden="1" outlineLevel="1">
      <c r="A225" s="43"/>
      <c r="B225" s="109" t="s">
        <v>422</v>
      </c>
      <c r="C225" s="110">
        <f>IF(ISERROR(J244),"-",J244)</f>
        <v>0</v>
      </c>
      <c r="D225" s="110" t="str">
        <f>IF(ISERROR(C225/feijao_areacultivada),"-",C225/feijao_areacultivada)</f>
        <v>-</v>
      </c>
      <c r="E225" s="110" t="str">
        <f>IF(ISERROR(C225/(feijao_areacultivada*feijao_produtividademedia)),"-",C225/(feijao_areacultivada*feijao_produtividademedia))</f>
        <v>-</v>
      </c>
      <c r="F225" s="43"/>
      <c r="G225" s="24"/>
      <c r="H225" s="24"/>
      <c r="I225" s="24"/>
      <c r="J225" s="24"/>
      <c r="Q225" s="24"/>
      <c r="R225" s="24"/>
    </row>
    <row r="226" spans="1:18" hidden="1" outlineLevel="1">
      <c r="A226" s="43"/>
      <c r="B226" s="111" t="s">
        <v>169</v>
      </c>
      <c r="C226" s="112">
        <f>IF(ISERROR(SUM(C222:C224)-C225),"-",SUM(C222:C224)-C225)</f>
        <v>0</v>
      </c>
      <c r="D226" s="112" t="str">
        <f>IF(ISERROR(C226/feijao_areacultivada),"-",C226/feijao_areacultivada)</f>
        <v>-</v>
      </c>
      <c r="E226" s="112" t="str">
        <f>IF(ISERROR(C226/(feijao_areacultivada*feijao_produtividademedia)),"-",C226/(feijao_areacultivada*feijao_produtividademedia))</f>
        <v>-</v>
      </c>
      <c r="F226" s="43"/>
      <c r="G226" s="24"/>
      <c r="H226" s="24"/>
      <c r="I226" s="24"/>
      <c r="J226" s="24"/>
      <c r="Q226" s="24"/>
      <c r="R226" s="24"/>
    </row>
    <row r="227" spans="1:18" hidden="1" outlineLevel="1">
      <c r="A227" s="43"/>
      <c r="B227" s="43"/>
      <c r="C227" s="43"/>
      <c r="D227" s="43"/>
      <c r="E227" s="43"/>
      <c r="F227" s="43"/>
      <c r="G227" s="24"/>
      <c r="H227" s="24"/>
      <c r="I227" s="24"/>
      <c r="J227" s="24"/>
      <c r="Q227" s="24"/>
      <c r="R227" s="24"/>
    </row>
    <row r="228" spans="1:18" ht="13.5" hidden="1" outlineLevel="1" thickBot="1">
      <c r="A228" s="43"/>
      <c r="B228" s="367" t="s">
        <v>446</v>
      </c>
      <c r="C228" s="367"/>
      <c r="D228" s="367"/>
      <c r="E228" s="367"/>
      <c r="F228" s="367"/>
      <c r="G228" s="367"/>
      <c r="H228" s="367"/>
      <c r="I228" s="367"/>
      <c r="J228" s="367"/>
      <c r="Q228" s="24"/>
      <c r="R228" s="24"/>
    </row>
    <row r="229" spans="1:18" hidden="1" outlineLevel="1">
      <c r="A229" s="43"/>
      <c r="B229" s="113"/>
      <c r="C229" s="114"/>
      <c r="D229" s="114"/>
      <c r="E229" s="114"/>
      <c r="F229" s="370" t="s">
        <v>108</v>
      </c>
      <c r="G229" s="371"/>
      <c r="H229" s="372"/>
      <c r="I229" s="385" t="s">
        <v>456</v>
      </c>
      <c r="J229" s="387" t="s">
        <v>444</v>
      </c>
      <c r="Q229" s="24"/>
      <c r="R229" s="24"/>
    </row>
    <row r="230" spans="1:18" ht="15.75" hidden="1" outlineLevel="1">
      <c r="A230" s="43"/>
      <c r="B230" s="389" t="s">
        <v>259</v>
      </c>
      <c r="C230" s="390"/>
      <c r="D230" s="391"/>
      <c r="E230" s="115" t="s">
        <v>232</v>
      </c>
      <c r="F230" s="116" t="s">
        <v>215</v>
      </c>
      <c r="G230" s="117" t="s">
        <v>217</v>
      </c>
      <c r="H230" s="118" t="s">
        <v>216</v>
      </c>
      <c r="I230" s="386"/>
      <c r="J230" s="388"/>
      <c r="Q230" s="24"/>
      <c r="R230" s="24"/>
    </row>
    <row r="231" spans="1:18" hidden="1" outlineLevel="1">
      <c r="A231" s="43"/>
      <c r="B231" s="373" t="s">
        <v>105</v>
      </c>
      <c r="C231" s="376" t="s">
        <v>168</v>
      </c>
      <c r="D231" s="119" t="s">
        <v>255</v>
      </c>
      <c r="E231" s="120" t="s">
        <v>225</v>
      </c>
      <c r="F231" s="121">
        <f>IF(ISERROR(c_co2_ureia*feijao_aplicacaoureia),"-",c_co2_ureia*feijao_aplicacaoureia)</f>
        <v>0</v>
      </c>
      <c r="G231" s="122">
        <f>IF(ISERROR(c_n2o_fertilizantesintetico*((feijao_aplicacaoureia*45)/100)),"-",c_n2o_fertilizantesintetico*((feijao_aplicacaoureia*45)/100))</f>
        <v>0</v>
      </c>
      <c r="H231" s="123"/>
      <c r="I231" s="121">
        <f t="shared" ref="I231:I243" si="10">IF(ISERROR(IF(F231&gt;=0,F231,0)+IF(G231*pag_n2o&gt;=0,G231*pag_n2o,0)+IF(H231*pag_ch4&gt;=0,H231*pag_ch4,0)),"-",IF(F231&gt;=0,F231,0)+IF(G231*pag_n2o&gt;=0,G231*pag_n2o,0)+IF(H231*pag_ch4&gt;=0,H231*pag_ch4,0))</f>
        <v>0</v>
      </c>
      <c r="J231" s="139"/>
      <c r="Q231" s="24"/>
      <c r="R231" s="24"/>
    </row>
    <row r="232" spans="1:18" hidden="1" outlineLevel="1">
      <c r="A232" s="43"/>
      <c r="B232" s="374"/>
      <c r="C232" s="377"/>
      <c r="D232" s="119" t="s">
        <v>6</v>
      </c>
      <c r="E232" s="120" t="s">
        <v>225</v>
      </c>
      <c r="F232" s="121">
        <f>IF(ISERROR((feijao_calcariocalcitico*c_co2_calcariocalcitico)+(feijao_calcariodolomitico*c_co2_calcariodolomitico)),"-",(feijao_calcariocalcitico*c_co2_calcariocalcitico)+(feijao_calcariodolomitico*c_co2_calcariodolomitico))</f>
        <v>0</v>
      </c>
      <c r="G232" s="125"/>
      <c r="H232" s="123"/>
      <c r="I232" s="121">
        <f t="shared" si="10"/>
        <v>0</v>
      </c>
      <c r="J232" s="139"/>
      <c r="Q232" s="24"/>
      <c r="R232" s="24"/>
    </row>
    <row r="233" spans="1:18" hidden="1" outlineLevel="1">
      <c r="A233" s="43"/>
      <c r="B233" s="374"/>
      <c r="C233" s="377"/>
      <c r="D233" s="119" t="s">
        <v>49</v>
      </c>
      <c r="E233" s="120" t="s">
        <v>243</v>
      </c>
      <c r="F233" s="126"/>
      <c r="G233" s="122">
        <f>IF(ISERROR(c_n2o_fertilizantesintetico*((feijao_adubacaonitrogenadasintetica*feijao_nadubosintetico)/100)),"-",c_n2o_fertilizantesintetico*((feijao_adubacaonitrogenadasintetica*feijao_nadubosintetico)/100))</f>
        <v>0</v>
      </c>
      <c r="H233" s="123"/>
      <c r="I233" s="121">
        <f t="shared" si="10"/>
        <v>0</v>
      </c>
      <c r="J233" s="139"/>
      <c r="Q233" s="24"/>
      <c r="R233" s="24"/>
    </row>
    <row r="234" spans="1:18" hidden="1" outlineLevel="1">
      <c r="A234" s="43"/>
      <c r="B234" s="374"/>
      <c r="C234" s="377"/>
      <c r="D234" s="119" t="s">
        <v>50</v>
      </c>
      <c r="E234" s="120" t="s">
        <v>225</v>
      </c>
      <c r="F234" s="126"/>
      <c r="G234" s="122">
        <f>IF(ISERROR((feijao_adubacaoorganicacompostoorganico*c_n2o_compostoorganico)+(feijao_adubacaoorganicaestercogeral*c_n2o_estercogeral)+(feijao_adubacaoorganicaestercoavicola*c_n2o_estercoavicola)+(feijao_adubacaoorganicaoutros*c_n2o_aduboorganicogeral)),"-",(feijao_adubacaoorganicacompostoorganico*c_n2o_compostoorganico)+(feijao_adubacaoorganicaestercogeral*c_n2o_estercogeral)+(feijao_adubacaoorganicaestercoavicola*c_n2o_estercoavicola)+(feijao_adubacaoorganicaoutros*c_n2o_aduboorganicogeral))</f>
        <v>0</v>
      </c>
      <c r="H234" s="123"/>
      <c r="I234" s="121">
        <f t="shared" si="10"/>
        <v>0</v>
      </c>
      <c r="J234" s="139"/>
      <c r="R234" s="24"/>
    </row>
    <row r="235" spans="1:18" hidden="1" outlineLevel="1">
      <c r="A235" s="43"/>
      <c r="B235" s="374"/>
      <c r="C235" s="377"/>
      <c r="D235" s="119" t="s">
        <v>258</v>
      </c>
      <c r="E235" s="120" t="s">
        <v>256</v>
      </c>
      <c r="F235" s="126"/>
      <c r="G235" s="122">
        <f>IF(ISERROR(((feijao_aplicacaoureia*45)/100+(feijao_adubacaonitrogenadasintetica*feijao_nadubosintetico)/100+(feijao_adubacaoorganicacompostoorganico*c_compostoorganico_teornitrogenio)/100+(feijao_adubacaoorganicaestercoavicola*c_estercoavicola_teornitrogenio)/100+(feijao_adubacaoorganicaestercogeral*c_estercogeral_teornitrogenio)/100+(feijao_adubacaoorganicaoutros*c_aduboorganicogeral_teornitrogenio)/100)*0.3*0.025),"-",((feijao_aplicacaoureia*45)/100+(feijao_adubacaonitrogenadasintetica*feijao_nadubosintetico)/100+(feijao_adubacaoorganicacompostoorganico*c_compostoorganico_teornitrogenio)/100+(feijao_adubacaoorganicaestercoavicola*c_estercoavicola_teornitrogenio)/100+(feijao_adubacaoorganicaestercogeral*c_estercogeral_teornitrogenio)/100+(feijao_adubacaoorganicaoutros*c_aduboorganicogeral_teornitrogenio)/100)*0.3*0.025)</f>
        <v>0</v>
      </c>
      <c r="H235" s="123"/>
      <c r="I235" s="121">
        <f t="shared" si="10"/>
        <v>0</v>
      </c>
      <c r="J235" s="139"/>
    </row>
    <row r="236" spans="1:18" hidden="1" outlineLevel="1">
      <c r="A236" s="43"/>
      <c r="B236" s="374"/>
      <c r="C236" s="377"/>
      <c r="D236" s="119" t="s">
        <v>437</v>
      </c>
      <c r="E236" s="120" t="s">
        <v>256</v>
      </c>
      <c r="F236" s="126"/>
      <c r="G236" s="122">
        <f>IF(ISERROR(((((feijao_aplicacaoureia*45)/100+(feijao_adubacaonitrogenadasintetica*feijao_nadubosintetico)/100)*0.1)+(((feijao_adubacaoorganicacompostoorganico*c_compostoorganico_teornitrogenio)/100+(feijao_adubacaoorganicaestercoavicola*c_estercoavicola_teornitrogenio)/100+(feijao_adubacaoorganicaestercogeral*c_estercogeral_teornitrogenio)/100+(feijao_adubacaoorganicaoutros*c_aduboorganicogeral_teornitrogenio)/100)*0.2))*0.01),"-",((((feijao_aplicacaoureia*45)/100+(feijao_adubacaonitrogenadasintetica*feijao_nadubosintetico)/100)*0.1)+(((feijao_adubacaoorganicacompostoorganico*c_compostoorganico_teornitrogenio)/100+(feijao_adubacaoorganicaestercoavicola*c_estercoavicola_teornitrogenio)/100+(feijao_adubacaoorganicaestercogeral*c_estercogeral_teornitrogenio)/100+(feijao_adubacaoorganicaoutros*c_aduboorganicogeral_teornitrogenio)/100)*0.2))*0.01)</f>
        <v>0</v>
      </c>
      <c r="H236" s="123"/>
      <c r="I236" s="121">
        <f t="shared" si="10"/>
        <v>0</v>
      </c>
      <c r="J236" s="139"/>
    </row>
    <row r="237" spans="1:18" hidden="1" outlineLevel="1">
      <c r="A237" s="43"/>
      <c r="B237" s="374"/>
      <c r="C237" s="377"/>
      <c r="D237" s="119" t="s">
        <v>363</v>
      </c>
      <c r="E237" s="120" t="s">
        <v>225</v>
      </c>
      <c r="F237" s="126"/>
      <c r="G237" s="122">
        <f>IF(ISERROR(feijao_areaqueimaresiduos*feijao_produtividademedia*c_queimaresiduofeijao_n2o),"-",feijao_areaqueimaresiduos*feijao_produtividademedia*c_queimaresiduofeijao_n2o)</f>
        <v>0</v>
      </c>
      <c r="H237" s="127">
        <f>IF(ISERROR(feijao_areaqueimaresiduos*feijao_produtividademedia*c_queimaresiduofeijao_ch4),"-",feijao_areaqueimaresiduos*feijao_produtividademedia*c_queimaresiduofeijao_ch4)</f>
        <v>0</v>
      </c>
      <c r="I237" s="121">
        <f t="shared" si="10"/>
        <v>0</v>
      </c>
      <c r="J237" s="139"/>
    </row>
    <row r="238" spans="1:18" hidden="1" outlineLevel="1">
      <c r="A238" s="43"/>
      <c r="B238" s="374"/>
      <c r="C238" s="377"/>
      <c r="D238" s="119" t="s">
        <v>362</v>
      </c>
      <c r="E238" s="120" t="s">
        <v>225</v>
      </c>
      <c r="F238" s="126"/>
      <c r="G238" s="122">
        <f>IF(ISERROR((feijao_produtividademedia*feijao_areacultivada*c_residuofeijao_n2o)+(feijao_adubacaoverdegraminea*c_residuoadubacaoverdegraminea_n2o)+(feijao_adubacaoverdeleguminosa*c_residuoadubacaoverdeleguminosa_n2o)+(feijao_adubacaoverdeoutros*c_residuoadubacaoverdeoutros_n2o)),"-",(feijao_produtividademedia*feijao_areacultivada*c_residuofeijao_n2o)+(feijao_adubacaoverdegraminea*c_residuoadubacaoverdegraminea_n2o)+(feijao_adubacaoverdeleguminosa*c_residuoadubacaoverdeleguminosa_n2o)+(feijao_adubacaoverdeoutros*c_residuoadubacaoverdeoutros_n2o))</f>
        <v>0</v>
      </c>
      <c r="H238" s="123"/>
      <c r="I238" s="121">
        <f t="shared" si="10"/>
        <v>0</v>
      </c>
      <c r="J238" s="139"/>
    </row>
    <row r="239" spans="1:18" hidden="1" outlineLevel="1">
      <c r="A239" s="43"/>
      <c r="B239" s="374"/>
      <c r="C239" s="378"/>
      <c r="D239" s="128" t="s">
        <v>257</v>
      </c>
      <c r="E239" s="120" t="s">
        <v>225</v>
      </c>
      <c r="F239" s="121">
        <f>IF(ISERROR(feijao_cultivosoloorganico*c_co2eq_cultivosolosorganicos),"-",feijao_cultivosoloorganico*c_co2eq_cultivosolosorganicos)</f>
        <v>0</v>
      </c>
      <c r="G239" s="122">
        <f>IF(ISERROR(feijao_cultivosoloorganico*c_n2o_perdanitrogenio),"-",feijao_cultivosoloorganico*c_n2o_perdanitrogenio)</f>
        <v>0</v>
      </c>
      <c r="H239" s="123"/>
      <c r="I239" s="121">
        <f t="shared" si="10"/>
        <v>0</v>
      </c>
      <c r="J239" s="139"/>
    </row>
    <row r="240" spans="1:18" hidden="1" outlineLevel="1">
      <c r="A240" s="43"/>
      <c r="B240" s="375"/>
      <c r="C240" s="129" t="s">
        <v>106</v>
      </c>
      <c r="D240" s="119" t="s">
        <v>93</v>
      </c>
      <c r="E240" s="120" t="s">
        <v>225</v>
      </c>
      <c r="F240" s="121">
        <f>IF(ISERROR(IF(feijao_tipoconsumocombustivel="Quantidade consumida",(feijao_consumodiesel*(mistura_diesel_feijao/100))*c_mecanizacao_co2,IF(feijao_tipoconsumocombustivel="Operações mecanizadas",SUM(IF(feijao_operacaomecanizada_adubacaodecobertura="Sim",c_horamaquina_feijao_adubacaodecobertura*feijao_operacaomecanizada_adubacaodecobertura_repeticoes,0),IF(feijao_operacaomecanizada_aplicacaodefungicida="Sim",c_horamaquina_feijao_aplicacaofungicida*feijao_operacaomecanizada_aplicacaodefungicida_repeticoes,0),IF(feijao_operacaomecanizada_aplicacaoherbicidaposemergente="Sim",c_horamaquina_feijao_aplicacaoherbicidaposemergente*feijao_operacaomecanizada_aplicacaoherbicidaposemergente_repeticoes,0),IF(feijao_operacaomecanizada_aracao="Sim",c_horamaquina_feijao_aracaoconvencional*feijao_operacaomecanizada_aracao_repeticoes,0),IF(feijao_operacaomecanizada_calagem="Sim",c_horamaquina_feijao_calagem*feijao_operacaomecanizada_calagem_repeticoes,0),IF(feijao_operacaomecanizada_gradagemniveladora="Sim",c_horamaquina_feijao_gradagemniveladora*feijao_operacaomecanizada_gradagemniveladora_repeticoes,0),IF(feijao_operacaomecanizada_plantio="Sim",c_horamaquina_feijao_plantio*feijao_operacaomecanizada_plantio_repeticoes,0),IF(feijao_operacaomecanizada_transporteinternodaproducao="Sim",c_horamaquina_feijao_transporteinternodaproducao*feijao_operacaomecanizada_transporteinternodaproducao_repeticoes,0),IF(feijao_operacaomecanizada_transporteinternodeinsumosparaplantio="Sim",c_horamaquina_feijao_transporteinternodeinsumosparaplantio*feijao_operacaomecanizada_transporteinternodeinsumosparaplantio_repeticoes,0),IF(feijao_operacaomecanizada_trilhacombatedeiradecereais="Sim",c_horamaquina_feijao_trilhacombatedeiradecereais*feijao_operacaomecanizada_trilhacombatedeiradecereais_repeticoes,0))*c_mecanizacao_co2*20*(mistura_diesel_feijao/100)*feijao_areacultivada,0))),"-",IF(feijao_tipoconsumocombustivel="Quantidade consumida",(feijao_consumodiesel*(mistura_diesel_feijao/100))*c_mecanizacao_co2,IF(feijao_tipoconsumocombustivel="Operações mecanizadas",SUM(IF(feijao_operacaomecanizada_adubacaodecobertura="Sim",c_horamaquina_feijao_adubacaodecobertura*feijao_operacaomecanizada_adubacaodecobertura_repeticoes,0),IF(feijao_operacaomecanizada_aplicacaodefungicida="Sim",c_horamaquina_feijao_aplicacaofungicida*feijao_operacaomecanizada_aplicacaodefungicida_repeticoes,0),IF(feijao_operacaomecanizada_aplicacaoherbicidaposemergente="Sim",c_horamaquina_feijao_aplicacaoherbicidaposemergente*feijao_operacaomecanizada_aplicacaoherbicidaposemergente_repeticoes,0),IF(feijao_operacaomecanizada_aracao="Sim",c_horamaquina_feijao_aracaoconvencional*feijao_operacaomecanizada_aracao_repeticoes,0),IF(feijao_operacaomecanizada_calagem="Sim",c_horamaquina_feijao_calagem*feijao_operacaomecanizada_calagem_repeticoes,0),IF(feijao_operacaomecanizada_gradagemniveladora="Sim",c_horamaquina_feijao_gradagemniveladora*feijao_operacaomecanizada_gradagemniveladora_repeticoes,0),IF(feijao_operacaomecanizada_plantio="Sim",c_horamaquina_feijao_plantio*feijao_operacaomecanizada_plantio_repeticoes,0),IF(feijao_operacaomecanizada_transporteinternodaproducao="Sim",c_horamaquina_feijao_transporteinternodaproducao*feijao_operacaomecanizada_transporteinternodaproducao_repeticoes,0),IF(feijao_operacaomecanizada_transporteinternodeinsumosparaplantio="Sim",c_horamaquina_feijao_transporteinternodeinsumosparaplantio*feijao_operacaomecanizada_transporteinternodeinsumosparaplantio_repeticoes,0),IF(feijao_operacaomecanizada_trilhacombatedeiradecereais="Sim",c_horamaquina_feijao_trilhacombatedeiradecereais*feijao_operacaomecanizada_trilhacombatedeiradecereais_repeticoes,0))*c_mecanizacao_co2*20*(mistura_diesel_feijao/100)*feijao_areacultivada,0)))</f>
        <v>0</v>
      </c>
      <c r="G240" s="122">
        <f>IF(ISERROR(IF(feijao_tipoconsumocombustivel="Quantidade consumida",(feijao_consumodiesel*(mistura_diesel_feijao/100))*c_mecanizacao_n2o,IF(feijao_tipoconsumocombustivel="Operações mecanizadas",SUM(IF(feijao_operacaomecanizada_adubacaodecobertura="Sim",c_horamaquina_feijao_adubacaodecobertura*feijao_operacaomecanizada_adubacaodecobertura_repeticoes,0),IF(feijao_operacaomecanizada_aplicacaodefungicida="Sim",c_horamaquina_feijao_aplicacaofungicida*feijao_operacaomecanizada_aplicacaodefungicida_repeticoes,0),IF(feijao_operacaomecanizada_aplicacaoherbicidaposemergente="Sim",c_horamaquina_feijao_aplicacaoherbicidaposemergente*feijao_operacaomecanizada_aplicacaoherbicidaposemergente_repeticoes,0),IF(feijao_operacaomecanizada_aracao="Sim",c_horamaquina_feijao_aracaoconvencional*feijao_operacaomecanizada_aracao_repeticoes,0),IF(feijao_operacaomecanizada_calagem="Sim",c_horamaquina_feijao_calagem*feijao_operacaomecanizada_calagem_repeticoes,0),IF(feijao_operacaomecanizada_gradagemniveladora="Sim",c_horamaquina_feijao_gradagemniveladora*feijao_operacaomecanizada_gradagemniveladora_repeticoes,0),IF(feijao_operacaomecanizada_plantio="Sim",c_horamaquina_feijao_plantio*feijao_operacaomecanizada_plantio_repeticoes,0),IF(feijao_operacaomecanizada_transporteinternodaproducao="Sim",c_horamaquina_feijao_transporteinternodaproducao*feijao_operacaomecanizada_transporteinternodaproducao_repeticoes,0),IF(feijao_operacaomecanizada_transporteinternodeinsumosparaplantio="Sim",c_horamaquina_feijao_transporteinternodeinsumosparaplantio*feijao_operacaomecanizada_transporteinternodeinsumosparaplantio_repeticoes,0),IF(feijao_operacaomecanizada_trilhacombatedeiradecereais="Sim",c_horamaquina_feijao_trilhacombatedeiradecereais*feijao_operacaomecanizada_trilhacombatedeiradecereais_repeticoes,0))*c_mecanizacao_n2o*20*(mistura_diesel_feijao/100)*feijao_areacultivada,0))),"-",IF(feijao_tipoconsumocombustivel="Quantidade consumida",(feijao_consumodiesel*(mistura_diesel_feijao/100))*c_mecanizacao_n2o,IF(feijao_tipoconsumocombustivel="Operações mecanizadas",SUM(IF(feijao_operacaomecanizada_adubacaodecobertura="Sim",c_horamaquina_feijao_adubacaodecobertura*feijao_operacaomecanizada_adubacaodecobertura_repeticoes,0),IF(feijao_operacaomecanizada_aplicacaodefungicida="Sim",c_horamaquina_feijao_aplicacaofungicida*feijao_operacaomecanizada_aplicacaodefungicida_repeticoes,0),IF(feijao_operacaomecanizada_aplicacaoherbicidaposemergente="Sim",c_horamaquina_feijao_aplicacaoherbicidaposemergente*feijao_operacaomecanizada_aplicacaoherbicidaposemergente_repeticoes,0),IF(feijao_operacaomecanizada_aracao="Sim",c_horamaquina_feijao_aracaoconvencional*feijao_operacaomecanizada_aracao_repeticoes,0),IF(feijao_operacaomecanizada_calagem="Sim",c_horamaquina_feijao_calagem*feijao_operacaomecanizada_calagem_repeticoes,0),IF(feijao_operacaomecanizada_gradagemniveladora="Sim",c_horamaquina_feijao_gradagemniveladora*feijao_operacaomecanizada_gradagemniveladora_repeticoes,0),IF(feijao_operacaomecanizada_plantio="Sim",c_horamaquina_feijao_plantio*feijao_operacaomecanizada_plantio_repeticoes,0),IF(feijao_operacaomecanizada_transporteinternodaproducao="Sim",c_horamaquina_feijao_transporteinternodaproducao*feijao_operacaomecanizada_transporteinternodaproducao_repeticoes,0),IF(feijao_operacaomecanizada_transporteinternodeinsumosparaplantio="Sim",c_horamaquina_feijao_transporteinternodeinsumosparaplantio*feijao_operacaomecanizada_transporteinternodeinsumosparaplantio_repeticoes,0),IF(feijao_operacaomecanizada_trilhacombatedeiradecereais="Sim",c_horamaquina_feijao_trilhacombatedeiradecereais*feijao_operacaomecanizada_trilhacombatedeiradecereais_repeticoes,0))*c_mecanizacao_n2o*20*(mistura_diesel_feijao/100)*feijao_areacultivada,0)))</f>
        <v>0</v>
      </c>
      <c r="H240" s="127">
        <f>IF(ISERROR(IF(feijao_tipoconsumocombustivel="Quantidade consumida",(feijao_consumodiesel*(mistura_diesel_feijao/100))*c_mecanizacao_ch4,IF(feijao_tipoconsumocombustivel="Operações mecanizadas",SUM(IF(feijao_operacaomecanizada_adubacaodecobertura="Sim",c_horamaquina_feijao_adubacaodecobertura*feijao_operacaomecanizada_adubacaodecobertura_repeticoes,0),IF(feijao_operacaomecanizada_aplicacaodefungicida="Sim",c_horamaquina_feijao_aplicacaofungicida*feijao_operacaomecanizada_aplicacaodefungicida_repeticoes,0),IF(feijao_operacaomecanizada_aplicacaoherbicidaposemergente="Sim",c_horamaquina_feijao_aplicacaoherbicidaposemergente*feijao_operacaomecanizada_aplicacaoherbicidaposemergente_repeticoes,0),IF(feijao_operacaomecanizada_aracao="Sim",c_horamaquina_feijao_aracaoconvencional*feijao_operacaomecanizada_aracao_repeticoes,0),IF(feijao_operacaomecanizada_calagem="Sim",c_horamaquina_feijao_calagem*feijao_operacaomecanizada_calagem_repeticoes,0),IF(feijao_operacaomecanizada_gradagemniveladora="Sim",c_horamaquina_feijao_gradagemniveladora*feijao_operacaomecanizada_gradagemniveladora_repeticoes,0),IF(feijao_operacaomecanizada_plantio="Sim",c_horamaquina_feijao_plantio*feijao_operacaomecanizada_plantio_repeticoes,0),IF(feijao_operacaomecanizada_transporteinternodaproducao="Sim",c_horamaquina_feijao_transporteinternodaproducao*feijao_operacaomecanizada_transporteinternodaproducao_repeticoes,0),IF(feijao_operacaomecanizada_transporteinternodeinsumosparaplantio="Sim",c_horamaquina_feijao_transporteinternodeinsumosparaplantio*feijao_operacaomecanizada_transporteinternodeinsumosparaplantio_repeticoes,0),IF(feijao_operacaomecanizada_trilhacombatedeiradecereais="Sim",c_horamaquina_feijao_trilhacombatedeiradecereais*feijao_operacaomecanizada_trilhacombatedeiradecereais_repeticoes,0))*c_mecanizacao_ch4*20*(mistura_diesel_feijao/100)*feijao_areacultivada,0))),"-",IF(feijao_tipoconsumocombustivel="Quantidade consumida",(feijao_consumodiesel*(mistura_diesel_feijao/100))*c_mecanizacao_ch4,IF(feijao_tipoconsumocombustivel="Operações mecanizadas",SUM(IF(feijao_operacaomecanizada_adubacaodecobertura="Sim",c_horamaquina_feijao_adubacaodecobertura*feijao_operacaomecanizada_adubacaodecobertura_repeticoes,0),IF(feijao_operacaomecanizada_aplicacaodefungicida="Sim",c_horamaquina_feijao_aplicacaofungicida*feijao_operacaomecanizada_aplicacaodefungicida_repeticoes,0),IF(feijao_operacaomecanizada_aplicacaoherbicidaposemergente="Sim",c_horamaquina_feijao_aplicacaoherbicidaposemergente*feijao_operacaomecanizada_aplicacaoherbicidaposemergente_repeticoes,0),IF(feijao_operacaomecanizada_aracao="Sim",c_horamaquina_feijao_aracaoconvencional*feijao_operacaomecanizada_aracao_repeticoes,0),IF(feijao_operacaomecanizada_calagem="Sim",c_horamaquina_feijao_calagem*feijao_operacaomecanizada_calagem_repeticoes,0),IF(feijao_operacaomecanizada_gradagemniveladora="Sim",c_horamaquina_feijao_gradagemniveladora*feijao_operacaomecanizada_gradagemniveladora_repeticoes,0),IF(feijao_operacaomecanizada_plantio="Sim",c_horamaquina_feijao_plantio*feijao_operacaomecanizada_plantio_repeticoes,0),IF(feijao_operacaomecanizada_transporteinternodaproducao="Sim",c_horamaquina_feijao_transporteinternodaproducao*feijao_operacaomecanizada_transporteinternodaproducao_repeticoes,0),IF(feijao_operacaomecanizada_transporteinternodeinsumosparaplantio="Sim",c_horamaquina_feijao_transporteinternodeinsumosparaplantio*feijao_operacaomecanizada_transporteinternodeinsumosparaplantio_repeticoes,0),IF(feijao_operacaomecanizada_trilhacombatedeiradecereais="Sim",c_horamaquina_feijao_trilhacombatedeiradecereais*feijao_operacaomecanizada_trilhacombatedeiradecereais_repeticoes,0))*c_mecanizacao_ch4*20*(mistura_diesel_feijao/100)*feijao_areacultivada,0)))</f>
        <v>0</v>
      </c>
      <c r="I240" s="121">
        <f t="shared" si="10"/>
        <v>0</v>
      </c>
      <c r="J240" s="139"/>
    </row>
    <row r="241" spans="1:10" hidden="1" outlineLevel="1">
      <c r="A241" s="43"/>
      <c r="B241" s="130" t="s">
        <v>151</v>
      </c>
      <c r="C241" s="130" t="s">
        <v>213</v>
      </c>
      <c r="D241" s="130" t="s">
        <v>99</v>
      </c>
      <c r="E241" s="131" t="s">
        <v>225</v>
      </c>
      <c r="F241" s="132">
        <f>IF(ISERROR((c_emissaoexterna_fungicida*feijao_aplicacaofungicida)+(c_emissaoexterna_herbicida*feijao_aplicacaoherbicida)+(c_emissaoexterna_inseticida*feijao_aplicacaoinseticida)),"-",(c_emissaoexterna_fungicida*feijao_aplicacaofungicida)+(c_emissaoexterna_herbicida*feijao_aplicacaoherbicida)+(c_emissaoexterna_inseticida*feijao_aplicacaoinseticida))</f>
        <v>0</v>
      </c>
      <c r="G241" s="133"/>
      <c r="H241" s="134"/>
      <c r="I241" s="132">
        <f t="shared" si="10"/>
        <v>0</v>
      </c>
      <c r="J241" s="139"/>
    </row>
    <row r="242" spans="1:10" hidden="1" outlineLevel="1">
      <c r="A242" s="43"/>
      <c r="B242" s="380" t="s">
        <v>260</v>
      </c>
      <c r="C242" s="381"/>
      <c r="D242" s="135" t="s">
        <v>51</v>
      </c>
      <c r="E242" s="136" t="s">
        <v>225</v>
      </c>
      <c r="F242" s="137">
        <f>IF(ISERROR(IF(feijao_tempoadocaosistema="Menor ou igual a 20 anos",feijao_areacultivada*(c_mudancausosolo_feijao*-1),0)),"-",IF(feijao_tempoadocaosistema="Menor ou igual a 20 anos",feijao_areacultivada*(c_mudancausosolo_feijao*-1),0))</f>
        <v>0</v>
      </c>
      <c r="G242" s="138"/>
      <c r="H242" s="139"/>
      <c r="I242" s="140">
        <f t="shared" si="10"/>
        <v>0</v>
      </c>
      <c r="J242" s="141">
        <f>IF(ISERROR(IF(F242&lt;0,F242*-1,0)+IF(G242*pag_n2o&lt;0,G242*pag_n2o*-1,0)+IF(H242*pag_ch4&lt;0,H242*pag_ch4*-1,0)),"-",IF(F242&lt;0,F242*-1,0)+IF(G242*pag_n2o&lt;0,G242*pag_n2o*-1,0)+IF(H242*pag_ch4&lt;0,H242*pag_ch4*-1,0))</f>
        <v>0</v>
      </c>
    </row>
    <row r="243" spans="1:10" ht="13.5" hidden="1" outlineLevel="1" thickBot="1">
      <c r="A243" s="43"/>
      <c r="B243" s="382"/>
      <c r="C243" s="383"/>
      <c r="D243" s="135" t="s">
        <v>440</v>
      </c>
      <c r="E243" s="142" t="s">
        <v>225</v>
      </c>
      <c r="F243" s="143">
        <f>IF(ISERROR(IF(feijao_tipoconsumocombustivel="Quantidade consumida",(feijao_consumodiesel*(1-(mistura_diesel_feijao/100)))*c_emissao_biodiesel,IF(feijao_tipoconsumocombustivel="Operações mecanizadas",SUM(IF(feijao_operacaomecanizada_adubacaodecobertura="Sim",c_horamaquina_feijao_adubacaodecobertura*feijao_operacaomecanizada_adubacaodecobertura_repeticoes,0),IF(feijao_operacaomecanizada_aplicacaodefungicida="Sim",c_horamaquina_feijao_aplicacaofungicida*feijao_operacaomecanizada_aplicacaodefungicida_repeticoes,0),IF(feijao_operacaomecanizada_aplicacaoherbicidaposemergente="Sim",c_horamaquina_feijao_aplicacaoherbicidaposemergente*feijao_operacaomecanizada_aplicacaoherbicidaposemergente_repeticoes,0),IF(feijao_operacaomecanizada_aracao="Sim",c_horamaquina_feijao_aracaoconvencional*feijao_operacaomecanizada_aracao_repeticoes,0),IF(feijao_operacaomecanizada_calagem="Sim",c_horamaquina_feijao_calagem*feijao_operacaomecanizada_calagem_repeticoes,0),IF(feijao_operacaomecanizada_gradagemniveladora="Sim",c_horamaquina_feijao_gradagemniveladora*feijao_operacaomecanizada_gradagemniveladora_repeticoes,0),IF(feijao_operacaomecanizada_plantio="Sim",c_horamaquina_feijao_plantio*feijao_operacaomecanizada_plantio_repeticoes,0),IF(feijao_operacaomecanizada_transporteinternodaproducao="Sim",c_horamaquina_feijao_transporteinternodaproducao*feijao_operacaomecanizada_transporteinternodaproducao_repeticoes,0),IF(feijao_operacaomecanizada_transporteinternodeinsumosparaplantio="Sim",c_horamaquina_feijao_transporteinternodeinsumosparaplantio*feijao_operacaomecanizada_transporteinternodeinsumosparaplantio_repeticoes,0),IF(feijao_operacaomecanizada_trilhacombatedeiradecereais="Sim",c_horamaquina_feijao_trilhacombatedeiradecereais*feijao_operacaomecanizada_trilhacombatedeiradecereais_repeticoes,0))*c_emissao_biodiesel*20*(1-(mistura_diesel_feijao/100))*feijao_areacultivada,0))),"-",IF(feijao_tipoconsumocombustivel="Quantidade consumida",(feijao_consumodiesel*(1-(mistura_diesel_feijao/100)))*c_emissao_biodiesel,IF(feijao_tipoconsumocombustivel="Operações mecanizadas",SUM(IF(feijao_operacaomecanizada_adubacaodecobertura="Sim",c_horamaquina_feijao_adubacaodecobertura*feijao_operacaomecanizada_adubacaodecobertura_repeticoes,0),IF(feijao_operacaomecanizada_aplicacaodefungicida="Sim",c_horamaquina_feijao_aplicacaofungicida*feijao_operacaomecanizada_aplicacaodefungicida_repeticoes,0),IF(feijao_operacaomecanizada_aplicacaoherbicidaposemergente="Sim",c_horamaquina_feijao_aplicacaoherbicidaposemergente*feijao_operacaomecanizada_aplicacaoherbicidaposemergente_repeticoes,0),IF(feijao_operacaomecanizada_aracao="Sim",c_horamaquina_feijao_aracaoconvencional*feijao_operacaomecanizada_aracao_repeticoes,0),IF(feijao_operacaomecanizada_calagem="Sim",c_horamaquina_feijao_calagem*feijao_operacaomecanizada_calagem_repeticoes,0),IF(feijao_operacaomecanizada_gradagemniveladora="Sim",c_horamaquina_feijao_gradagemniveladora*feijao_operacaomecanizada_gradagemniveladora_repeticoes,0),IF(feijao_operacaomecanizada_plantio="Sim",c_horamaquina_feijao_plantio*feijao_operacaomecanizada_plantio_repeticoes,0),IF(feijao_operacaomecanizada_transporteinternodaproducao="Sim",c_horamaquina_feijao_transporteinternodaproducao*feijao_operacaomecanizada_transporteinternodaproducao_repeticoes,0),IF(feijao_operacaomecanizada_transporteinternodeinsumosparaplantio="Sim",c_horamaquina_feijao_transporteinternodeinsumosparaplantio*feijao_operacaomecanizada_transporteinternodeinsumosparaplantio_repeticoes,0),IF(feijao_operacaomecanizada_trilhacombatedeiradecereais="Sim",c_horamaquina_feijao_trilhacombatedeiradecereais*feijao_operacaomecanizada_trilhacombatedeiradecereais_repeticoes,0))*c_emissao_biodiesel*20*(1-(mistura_diesel_feijao/100))*feijao_areacultivada,0)))</f>
        <v>0</v>
      </c>
      <c r="G243" s="144"/>
      <c r="H243" s="145"/>
      <c r="I243" s="146">
        <f t="shared" si="10"/>
        <v>0</v>
      </c>
      <c r="J243" s="145"/>
    </row>
    <row r="244" spans="1:10" hidden="1" outlineLevel="1">
      <c r="A244" s="43"/>
      <c r="B244" s="148"/>
      <c r="C244" s="149"/>
      <c r="D244" s="149"/>
      <c r="E244" s="150" t="s">
        <v>438</v>
      </c>
      <c r="F244" s="151">
        <f>IF(ISERROR(SUMIF(F231:F243,"&gt;=0")),"-",SUMIF(F231:F243,"&gt;=0"))</f>
        <v>0</v>
      </c>
      <c r="G244" s="152">
        <f t="shared" ref="G244" si="11">IF(ISERROR(SUMIF(G231:G243,"&gt;=0")),"-",SUMIF(G231:G243,"&gt;=0"))</f>
        <v>0</v>
      </c>
      <c r="H244" s="153">
        <f t="shared" ref="H244" si="12">IF(ISERROR(SUMIF(H231:H243,"&gt;=0")),"-",SUMIF(H231:H243,"&gt;=0"))</f>
        <v>0</v>
      </c>
      <c r="I244" s="151">
        <f>IF(ISERROR(SUMIF(I231:I243,"&gt;=0")),"-",SUMIF(I231:I243,"&gt;=0"))</f>
        <v>0</v>
      </c>
      <c r="J244" s="154">
        <f>IF(ISERROR(SUMIF(J231:J243,"&gt;=0")),"-",SUMIF(J231:J243,"&gt;=0"))</f>
        <v>0</v>
      </c>
    </row>
    <row r="245" spans="1:10" ht="15.75" hidden="1" outlineLevel="1">
      <c r="A245" s="43"/>
      <c r="B245" s="155"/>
      <c r="C245" s="156"/>
      <c r="D245" s="156"/>
      <c r="E245" s="157" t="s">
        <v>455</v>
      </c>
      <c r="F245" s="158">
        <f>IF(ISERROR(F244),"-",F244)</f>
        <v>0</v>
      </c>
      <c r="G245" s="159">
        <f>IF(ISERROR(G244*pag_n2o),"-",G244*pag_n2o)</f>
        <v>0</v>
      </c>
      <c r="H245" s="160">
        <f>IF(ISERROR(H244*pag_ch4),"-",H244*pag_ch4)</f>
        <v>0</v>
      </c>
      <c r="I245" s="187"/>
      <c r="J245" s="124"/>
    </row>
    <row r="246" spans="1:10" ht="13.5" hidden="1" outlineLevel="1" thickBot="1">
      <c r="A246" s="43"/>
      <c r="B246" s="163"/>
      <c r="C246" s="164"/>
      <c r="D246" s="164"/>
      <c r="E246" s="165" t="s">
        <v>443</v>
      </c>
      <c r="F246" s="166">
        <f>IF(ISERROR(SUMIF(F231:F243,"&lt;0")*-1),"-",SUMIF(F231:F243,"&lt;0")*-1)</f>
        <v>0</v>
      </c>
      <c r="G246" s="167"/>
      <c r="H246" s="168"/>
      <c r="I246" s="191"/>
      <c r="J246" s="168"/>
    </row>
    <row r="247" spans="1:10" hidden="1" outlineLevel="1">
      <c r="B247" s="43"/>
      <c r="C247" s="43"/>
      <c r="D247" s="43"/>
      <c r="E247" s="43"/>
      <c r="F247" s="43"/>
      <c r="G247" s="43"/>
      <c r="H247" s="43"/>
      <c r="I247" s="43"/>
      <c r="J247" s="43"/>
    </row>
    <row r="248" spans="1:10" hidden="1" outlineLevel="1">
      <c r="B248" s="367" t="s">
        <v>524</v>
      </c>
      <c r="C248" s="367"/>
      <c r="D248" s="367"/>
      <c r="E248" s="43"/>
      <c r="F248" s="43"/>
      <c r="G248" s="43"/>
      <c r="H248" s="43"/>
      <c r="I248" s="43"/>
      <c r="J248" s="43"/>
    </row>
    <row r="249" spans="1:10" ht="15.75" hidden="1" outlineLevel="1">
      <c r="B249" s="171"/>
      <c r="C249" s="172" t="s">
        <v>525</v>
      </c>
      <c r="D249" s="172" t="s">
        <v>526</v>
      </c>
      <c r="E249" s="43"/>
      <c r="F249" s="43"/>
      <c r="G249" s="43"/>
      <c r="H249" s="43"/>
      <c r="I249" s="43"/>
      <c r="J249" s="43"/>
    </row>
    <row r="250" spans="1:10" hidden="1" outlineLevel="1">
      <c r="B250" s="173" t="s">
        <v>109</v>
      </c>
      <c r="C250" s="174">
        <f>IF(ISERROR(feijao_areaqueimaresiduos*feijao_produtividademedia*c_queimaresiduofeijao_co),"-",feijao_areaqueimaresiduos*feijao_produtividademedia*c_queimaresiduofeijao_co)</f>
        <v>0</v>
      </c>
      <c r="D250" s="174">
        <f>IF(ISERROR(C250*conversor_co_co2),"-",C250*conversor_co_co2)</f>
        <v>0</v>
      </c>
      <c r="E250" s="43"/>
      <c r="F250" s="43"/>
      <c r="G250" s="43"/>
      <c r="H250" s="43"/>
      <c r="I250" s="43"/>
      <c r="J250" s="43"/>
    </row>
    <row r="251" spans="1:10" ht="15.75" hidden="1" outlineLevel="1">
      <c r="B251" s="173" t="s">
        <v>253</v>
      </c>
      <c r="C251" s="174">
        <f>IF(ISERROR(feijao_areaqueimaresiduos*feijao_produtividademedia*c_queimaresiduofeijao_nox),"-",feijao_areaqueimaresiduos*feijao_produtividademedia*c_queimaresiduofeijao_nox)</f>
        <v>0</v>
      </c>
      <c r="D251" s="174">
        <f>IF(ISERROR(conversor_no2_n2o*C251*pag_n2o),"-",conversor_no2_n2o*C251*pag_n2o)</f>
        <v>0</v>
      </c>
      <c r="E251" s="43"/>
      <c r="F251" s="43"/>
      <c r="G251" s="43"/>
      <c r="H251" s="43"/>
      <c r="I251" s="43"/>
      <c r="J251" s="43"/>
    </row>
    <row r="252" spans="1:10">
      <c r="B252" s="43"/>
      <c r="C252" s="43"/>
      <c r="D252" s="43"/>
      <c r="E252" s="43"/>
      <c r="F252" s="43"/>
      <c r="G252" s="43"/>
      <c r="H252" s="43"/>
      <c r="I252" s="43"/>
      <c r="J252" s="43"/>
    </row>
    <row r="253" spans="1:10" collapsed="1">
      <c r="A253" s="100"/>
      <c r="B253" s="368" t="s">
        <v>54</v>
      </c>
      <c r="C253" s="368"/>
      <c r="D253" s="368"/>
      <c r="E253" s="368"/>
      <c r="F253" s="368"/>
      <c r="G253" s="368"/>
      <c r="H253" s="368"/>
      <c r="I253" s="368"/>
      <c r="J253" s="369"/>
    </row>
    <row r="254" spans="1:10" hidden="1" outlineLevel="1"/>
    <row r="255" spans="1:10" hidden="1" outlineLevel="1">
      <c r="A255" s="43"/>
      <c r="B255" s="379" t="s">
        <v>445</v>
      </c>
      <c r="C255" s="379"/>
      <c r="D255" s="379"/>
      <c r="E255" s="379"/>
      <c r="F255" s="43"/>
      <c r="G255" s="43"/>
      <c r="H255" s="43"/>
      <c r="I255" s="43"/>
      <c r="J255" s="24"/>
    </row>
    <row r="256" spans="1:10" ht="28.5" hidden="1" outlineLevel="1">
      <c r="A256" s="43"/>
      <c r="B256" s="101"/>
      <c r="C256" s="102" t="s">
        <v>386</v>
      </c>
      <c r="D256" s="102" t="s">
        <v>385</v>
      </c>
      <c r="E256" s="102" t="s">
        <v>423</v>
      </c>
      <c r="F256" s="43"/>
      <c r="G256" s="24"/>
      <c r="H256" s="24"/>
      <c r="I256" s="24"/>
      <c r="J256" s="24"/>
    </row>
    <row r="257" spans="1:18" hidden="1" outlineLevel="1">
      <c r="A257" s="43"/>
      <c r="B257" s="103" t="s">
        <v>105</v>
      </c>
      <c r="C257" s="104">
        <f>IF(ISERROR(SUM(I266:I275)),"-",SUM(I266:I275))</f>
        <v>0</v>
      </c>
      <c r="D257" s="104" t="str">
        <f>IF(ISERROR(C257/feijao_areacultivada),"-",C257/feijao_areacultivada)</f>
        <v>-</v>
      </c>
      <c r="E257" s="104" t="str">
        <f>IF(ISERROR(C257/(feijao_areacultivada*feijao_produtividademedia)),"-",C257/(feijao_areacultivada*feijao_produtividademedia))</f>
        <v>-</v>
      </c>
      <c r="F257" s="43"/>
      <c r="G257" s="24"/>
      <c r="H257" s="24"/>
      <c r="I257" s="24"/>
      <c r="J257" s="24"/>
      <c r="Q257" s="24"/>
      <c r="R257" s="24"/>
    </row>
    <row r="258" spans="1:18" hidden="1" outlineLevel="1">
      <c r="A258" s="43"/>
      <c r="B258" s="105" t="s">
        <v>151</v>
      </c>
      <c r="C258" s="106">
        <f>IF(ISERROR(I276),"-",I276)</f>
        <v>0</v>
      </c>
      <c r="D258" s="106" t="str">
        <f>IF(ISERROR(C258/feijao_areacultivada),"-",C258/feijao_areacultivada)</f>
        <v>-</v>
      </c>
      <c r="E258" s="106" t="str">
        <f>IF(ISERROR(C258/(feijao_areacultivada*feijao_produtividademedia)),"-",C258/(feijao_areacultivada*feijao_produtividademedia))</f>
        <v>-</v>
      </c>
      <c r="F258" s="43"/>
      <c r="G258" s="24"/>
      <c r="H258" s="24"/>
      <c r="I258" s="24"/>
      <c r="J258" s="24"/>
      <c r="Q258" s="24"/>
      <c r="R258" s="24"/>
    </row>
    <row r="259" spans="1:18" hidden="1" outlineLevel="1">
      <c r="A259" s="43"/>
      <c r="B259" s="107" t="s">
        <v>173</v>
      </c>
      <c r="C259" s="108">
        <f>IF(ISERROR(SUM(I277:I278)),"-",SUM(I277:I278))</f>
        <v>0</v>
      </c>
      <c r="D259" s="108" t="str">
        <f>IF(ISERROR(C259/feijao_areacultivada),"-",C259/feijao_areacultivada)</f>
        <v>-</v>
      </c>
      <c r="E259" s="108" t="str">
        <f>IF(ISERROR(C259/(feijao_areacultivada*feijao_produtividademedia)),"-",C259/(feijao_areacultivada*feijao_produtividademedia))</f>
        <v>-</v>
      </c>
      <c r="F259" s="43"/>
      <c r="G259" s="24"/>
      <c r="H259" s="24"/>
      <c r="I259" s="24"/>
      <c r="J259" s="24"/>
      <c r="Q259" s="24"/>
      <c r="R259" s="24"/>
    </row>
    <row r="260" spans="1:18" ht="15.75" hidden="1" outlineLevel="1">
      <c r="A260" s="43"/>
      <c r="B260" s="109" t="s">
        <v>422</v>
      </c>
      <c r="C260" s="110">
        <f>IF(ISERROR(J279),"-",J279)</f>
        <v>0</v>
      </c>
      <c r="D260" s="110" t="str">
        <f>IF(ISERROR(C260/feijao_areacultivada),"-",C260/feijao_areacultivada)</f>
        <v>-</v>
      </c>
      <c r="E260" s="110" t="str">
        <f>IF(ISERROR(C260/(feijao_areacultivada*feijao_produtividademedia)),"-",C260/(feijao_areacultivada*feijao_produtividademedia))</f>
        <v>-</v>
      </c>
      <c r="F260" s="43"/>
      <c r="G260" s="24"/>
      <c r="H260" s="24"/>
      <c r="I260" s="24"/>
      <c r="J260" s="24"/>
      <c r="Q260" s="24"/>
      <c r="R260" s="24"/>
    </row>
    <row r="261" spans="1:18" hidden="1" outlineLevel="1">
      <c r="A261" s="43"/>
      <c r="B261" s="111" t="s">
        <v>169</v>
      </c>
      <c r="C261" s="112">
        <f>IF(ISERROR(SUM(C257:C259)-C260),"-",SUM(C257:C259)-C260)</f>
        <v>0</v>
      </c>
      <c r="D261" s="112" t="str">
        <f>IF(ISERROR(C261/feijao_areacultivada),"-",C261/feijao_areacultivada)</f>
        <v>-</v>
      </c>
      <c r="E261" s="112" t="str">
        <f>IF(ISERROR(C261/(feijao_areacultivada*feijao_produtividademedia)),"-",C261/(feijao_areacultivada*feijao_produtividademedia))</f>
        <v>-</v>
      </c>
      <c r="F261" s="43"/>
      <c r="G261" s="24"/>
      <c r="H261" s="24"/>
      <c r="I261" s="24"/>
      <c r="J261" s="24"/>
      <c r="Q261" s="24"/>
      <c r="R261" s="24"/>
    </row>
    <row r="262" spans="1:18" hidden="1" outlineLevel="1">
      <c r="A262" s="43"/>
      <c r="B262" s="43"/>
      <c r="C262" s="43"/>
      <c r="D262" s="43"/>
      <c r="E262" s="43"/>
      <c r="F262" s="43"/>
      <c r="G262" s="24"/>
      <c r="H262" s="24"/>
      <c r="I262" s="24"/>
      <c r="J262" s="24"/>
      <c r="R262" s="24"/>
    </row>
    <row r="263" spans="1:18" ht="13.5" hidden="1" outlineLevel="1" thickBot="1">
      <c r="A263" s="43"/>
      <c r="B263" s="367" t="s">
        <v>446</v>
      </c>
      <c r="C263" s="367"/>
      <c r="D263" s="367"/>
      <c r="E263" s="367"/>
      <c r="F263" s="367"/>
      <c r="G263" s="367"/>
      <c r="H263" s="367"/>
      <c r="I263" s="367"/>
      <c r="J263" s="367"/>
      <c r="R263" s="24"/>
    </row>
    <row r="264" spans="1:18" hidden="1" outlineLevel="1">
      <c r="A264" s="43"/>
      <c r="B264" s="113"/>
      <c r="C264" s="114"/>
      <c r="D264" s="114"/>
      <c r="E264" s="114"/>
      <c r="F264" s="370" t="s">
        <v>108</v>
      </c>
      <c r="G264" s="371"/>
      <c r="H264" s="372"/>
      <c r="I264" s="385" t="s">
        <v>456</v>
      </c>
      <c r="J264" s="387" t="s">
        <v>444</v>
      </c>
      <c r="R264" s="24"/>
    </row>
    <row r="265" spans="1:18" ht="15.75" hidden="1" outlineLevel="1">
      <c r="A265" s="43"/>
      <c r="B265" s="389" t="s">
        <v>259</v>
      </c>
      <c r="C265" s="390"/>
      <c r="D265" s="391"/>
      <c r="E265" s="115" t="s">
        <v>232</v>
      </c>
      <c r="F265" s="116" t="s">
        <v>215</v>
      </c>
      <c r="G265" s="117" t="s">
        <v>217</v>
      </c>
      <c r="H265" s="118" t="s">
        <v>216</v>
      </c>
      <c r="I265" s="386"/>
      <c r="J265" s="388"/>
      <c r="R265" s="24"/>
    </row>
    <row r="266" spans="1:18" hidden="1" outlineLevel="1">
      <c r="A266" s="43"/>
      <c r="B266" s="373" t="s">
        <v>105</v>
      </c>
      <c r="C266" s="376" t="s">
        <v>168</v>
      </c>
      <c r="D266" s="119" t="s">
        <v>255</v>
      </c>
      <c r="E266" s="120" t="s">
        <v>225</v>
      </c>
      <c r="F266" s="121">
        <f>IF(ISERROR(c_co2_ureia*cana_aplicacaoureia),"-",c_co2_ureia*cana_aplicacaoureia)</f>
        <v>0</v>
      </c>
      <c r="G266" s="122">
        <f>IF(ISERROR(c_n2o_fertilizantesintetico*((cana_aplicacaoureia*45)/100)),"-",c_n2o_fertilizantesintetico*((cana_aplicacaoureia*45)/100))</f>
        <v>0</v>
      </c>
      <c r="H266" s="123"/>
      <c r="I266" s="121">
        <f t="shared" ref="I266:I278" si="13">IF(ISERROR(IF(F266&gt;=0,F266,0)+IF(G266*pag_n2o&gt;=0,G266*pag_n2o,0)+IF(H266*pag_ch4&gt;=0,H266*pag_ch4,0)),"-",IF(F266&gt;=0,F266,0)+IF(G266*pag_n2o&gt;=0,G266*pag_n2o,0)+IF(H266*pag_ch4&gt;=0,H266*pag_ch4,0))</f>
        <v>0</v>
      </c>
      <c r="J266" s="139"/>
      <c r="R266" s="24"/>
    </row>
    <row r="267" spans="1:18" hidden="1" outlineLevel="1">
      <c r="A267" s="43"/>
      <c r="B267" s="374"/>
      <c r="C267" s="377"/>
      <c r="D267" s="119" t="s">
        <v>6</v>
      </c>
      <c r="E267" s="120" t="s">
        <v>225</v>
      </c>
      <c r="F267" s="121">
        <f>IF(ISERROR((cana_calcariocalcitico*c_co2_calcariocalcitico)+(cana_calcariodolomitico*c_co2_calcariodolomitico)),"-",(cana_calcariocalcitico*c_co2_calcariocalcitico)+(cana_calcariodolomitico*c_co2_calcariodolomitico))</f>
        <v>0</v>
      </c>
      <c r="G267" s="125"/>
      <c r="H267" s="123"/>
      <c r="I267" s="121">
        <f t="shared" si="13"/>
        <v>0</v>
      </c>
      <c r="J267" s="139"/>
      <c r="R267" s="24"/>
    </row>
    <row r="268" spans="1:18" hidden="1" outlineLevel="1">
      <c r="A268" s="43"/>
      <c r="B268" s="374"/>
      <c r="C268" s="377"/>
      <c r="D268" s="119" t="s">
        <v>49</v>
      </c>
      <c r="E268" s="120" t="s">
        <v>243</v>
      </c>
      <c r="F268" s="126"/>
      <c r="G268" s="122">
        <f>IF(ISERROR(c_n2o_fertilizantesintetico*((cana_adubacaonitrogenadasintetica*cana_nadubosintetico)/100)),"-",c_n2o_fertilizantesintetico*((cana_adubacaonitrogenadasintetica*cana_nadubosintetico)/100))</f>
        <v>0</v>
      </c>
      <c r="H268" s="123"/>
      <c r="I268" s="121">
        <f t="shared" si="13"/>
        <v>0</v>
      </c>
      <c r="J268" s="139"/>
      <c r="R268" s="24"/>
    </row>
    <row r="269" spans="1:18" hidden="1" outlineLevel="1">
      <c r="A269" s="43"/>
      <c r="B269" s="374"/>
      <c r="C269" s="377"/>
      <c r="D269" s="119" t="s">
        <v>50</v>
      </c>
      <c r="E269" s="120" t="s">
        <v>225</v>
      </c>
      <c r="F269" s="126"/>
      <c r="G269" s="122">
        <f>IF(ISERROR((cana_adubacaoorganicacompostoorganico*c_n2o_compostoorganico)+(cana_adubacaoorganicaestercogeral*c_n2o_estercogeral)+(cana_adubacaoorganicaestercoavicola*c_n2o_estercoavicola)+(cana_adubacaoorganicaoutros*c_n2o_aduboorganicogeral)+(cana_adubacaoorganicavinhaca*c_n2o_vinhaca*1000)+(IF(cana_ciclocultura="12 meses",cana_areaaplicacaotortadefiltro*c_n2o_tortafiltro,IF(cana_ciclocultura="18 meses",cana_areaaplicacaotortadefiltro*c_n2o_tortafiltro*1.5,0)))),"-",(cana_adubacaoorganicacompostoorganico*c_n2o_compostoorganico)+(cana_adubacaoorganicaestercogeral*c_n2o_estercogeral)+(cana_adubacaoorganicaestercoavicola*c_n2o_estercoavicola)+(cana_adubacaoorganicaoutros*c_n2o_aduboorganicogeral)+(cana_adubacaoorganicavinhaca*c_n2o_vinhaca*1000)+(IF(cana_ciclocultura="12 meses",cana_areaaplicacaotortadefiltro*c_n2o_tortafiltro,IF(cana_ciclocultura="18 meses",cana_areaaplicacaotortadefiltro*c_n2o_tortafiltro*1.5,0))))</f>
        <v>0</v>
      </c>
      <c r="H269" s="123"/>
      <c r="I269" s="121">
        <f t="shared" si="13"/>
        <v>0</v>
      </c>
      <c r="J269" s="139"/>
      <c r="R269" s="24"/>
    </row>
    <row r="270" spans="1:18" hidden="1" outlineLevel="1">
      <c r="A270" s="43"/>
      <c r="B270" s="374"/>
      <c r="C270" s="377"/>
      <c r="D270" s="119" t="s">
        <v>258</v>
      </c>
      <c r="E270" s="120" t="s">
        <v>256</v>
      </c>
      <c r="F270" s="126"/>
      <c r="G270" s="122">
        <f>IF(ISERROR(((cana_aplicacaoureia*45)/100+(cana_adubacaonitrogenadasintetica*cana_nadubosintetico)/100+(cana_adubacaoorganicacompostoorganico*c_compostoorganico_teornitrogenio)/100+(cana_adubacaoorganicaestercoavicola*c_estercoavicola_teornitrogenio)/100+(cana_adubacaoorganicaestercogeral*c_estercogeral_teornitrogenio)/100+(cana_adubacaoorganicaoutros*c_aduboorganicogeral_teornitrogenio)/100+(cana_adubacaoorganicavinhaca*c_vinhaca_teornitrogenio)/100+(cana_adubacaoorganicatortafiltro*c_tortafiltro_teornitrogenio)/100)*0.3*0.025),"-",((cana_aplicacaoureia*45)/100+(cana_adubacaonitrogenadasintetica*cana_nadubosintetico)/100+(cana_adubacaoorganicacompostoorganico*c_compostoorganico_teornitrogenio)/100+(cana_adubacaoorganicaestercoavicola*c_estercoavicola_teornitrogenio)/100+(cana_adubacaoorganicaestercogeral*c_estercogeral_teornitrogenio)/100+(cana_adubacaoorganicaoutros*c_aduboorganicogeral_teornitrogenio)/100+(cana_adubacaoorganicavinhaca*c_vinhaca_teornitrogenio)/100+(cana_adubacaoorganicatortafiltro*c_tortafiltro_teornitrogenio)/100)*0.3*0.025)</f>
        <v>0</v>
      </c>
      <c r="H270" s="123"/>
      <c r="I270" s="121">
        <f t="shared" si="13"/>
        <v>0</v>
      </c>
      <c r="J270" s="139"/>
    </row>
    <row r="271" spans="1:18" hidden="1" outlineLevel="1">
      <c r="A271" s="43"/>
      <c r="B271" s="374"/>
      <c r="C271" s="377"/>
      <c r="D271" s="119" t="s">
        <v>437</v>
      </c>
      <c r="E271" s="120" t="s">
        <v>256</v>
      </c>
      <c r="F271" s="126"/>
      <c r="G271" s="122">
        <f>IF(ISERROR(((((cana_aplicacaoureia*45)/100+(cana_adubacaonitrogenadasintetica*cana_nadubosintetico)/100)*0.1)+(((cana_adubacaoorganicacompostoorganico*c_compostoorganico_teornitrogenio)/100+(cana_adubacaoorganicaestercoavicola*c_estercoavicola_teornitrogenio)/100+(cana_adubacaoorganicaestercogeral*c_estercogeral_teornitrogenio)/100+(cana_adubacaoorganicaoutros*c_aduboorganicogeral_teornitrogenio)/100+(cana_adubacaoorganicavinhaca*c_vinhaca_teornitrogenio)/100+(cana_adubacaoorganicatortafiltro*c_tortafiltro_teornitrogenio)/100)*0.2))*0.01),"-",((((cana_aplicacaoureia*45)/100+(cana_adubacaonitrogenadasintetica*cana_nadubosintetico)/100)*0.1)+(((cana_adubacaoorganicacompostoorganico*c_compostoorganico_teornitrogenio)/100+(cana_adubacaoorganicaestercoavicola*c_estercoavicola_teornitrogenio)/100+(cana_adubacaoorganicaestercogeral*c_estercogeral_teornitrogenio)/100+(cana_adubacaoorganicaoutros*c_aduboorganicogeral_teornitrogenio)/100+(cana_adubacaoorganicavinhaca*c_vinhaca_teornitrogenio)/100+(cana_adubacaoorganicatortafiltro*c_tortafiltro_teornitrogenio)/100)*0.2))*0.01)</f>
        <v>0</v>
      </c>
      <c r="H271" s="123"/>
      <c r="I271" s="121">
        <f t="shared" si="13"/>
        <v>0</v>
      </c>
      <c r="J271" s="139"/>
    </row>
    <row r="272" spans="1:18" hidden="1" outlineLevel="1">
      <c r="A272" s="43"/>
      <c r="B272" s="374"/>
      <c r="C272" s="377"/>
      <c r="D272" s="119" t="s">
        <v>363</v>
      </c>
      <c r="E272" s="120" t="s">
        <v>225</v>
      </c>
      <c r="F272" s="126"/>
      <c r="G272" s="122">
        <f>IF(ISERROR(cana_areaqueimaresiduos*cana_produtividademedia*c_queimaresiduocana_n2o),"-",cana_areaqueimaresiduos*cana_produtividademedia*c_queimaresiduocana_n2o)</f>
        <v>0</v>
      </c>
      <c r="H272" s="127">
        <f>IF(ISERROR(cana_areaqueimaresiduos*cana_produtividademedia*c_queimaresiduocana_ch4),"-",cana_areaqueimaresiduos*cana_produtividademedia*c_queimaresiduocana_ch4)</f>
        <v>0</v>
      </c>
      <c r="I272" s="121">
        <f t="shared" si="13"/>
        <v>0</v>
      </c>
      <c r="J272" s="139"/>
    </row>
    <row r="273" spans="1:19" hidden="1" outlineLevel="1">
      <c r="A273" s="43"/>
      <c r="B273" s="374"/>
      <c r="C273" s="377"/>
      <c r="D273" s="119" t="s">
        <v>362</v>
      </c>
      <c r="E273" s="120" t="s">
        <v>225</v>
      </c>
      <c r="F273" s="126"/>
      <c r="G273" s="122">
        <f>IF(ISERROR((cana_produtividademedia*cana_areacultivada*IF(cana_manejosolo="Cana com queima", c_residuocanacomqueima_n2o,IF(cana_manejosolo="Cana sem queima",c_residuocanasemqueima_n2o,0)))+(cana_adubacaoverdegraminea*c_residuoadubacaoverdegraminea_n2o)+(cana_adubacaoverdeleguminosa*c_residuoadubacaoverdeleguminosa_n2o)+(cana_adubacaoverdeoutros*c_residuoadubacaoverdeoutros_n2o)),"-",(cana_produtividademedia*cana_areacultivada*IF(cana_manejosolo="Cana com queima", c_residuocanacomqueima_n2o,IF(cana_manejosolo="Cana sem queima",c_residuocanasemqueima_n2o,0)))+(cana_adubacaoverdegraminea*c_residuoadubacaoverdegraminea_n2o)+(cana_adubacaoverdeleguminosa*c_residuoadubacaoverdeleguminosa_n2o)+(cana_adubacaoverdeoutros*c_residuoadubacaoverdeoutros_n2o))</f>
        <v>0</v>
      </c>
      <c r="H273" s="123"/>
      <c r="I273" s="121">
        <f t="shared" si="13"/>
        <v>0</v>
      </c>
      <c r="J273" s="139"/>
    </row>
    <row r="274" spans="1:19" hidden="1" outlineLevel="1">
      <c r="A274" s="43"/>
      <c r="B274" s="374"/>
      <c r="C274" s="378"/>
      <c r="D274" s="128" t="s">
        <v>257</v>
      </c>
      <c r="E274" s="120" t="s">
        <v>225</v>
      </c>
      <c r="F274" s="121">
        <f>IF(ISERROR(cana_cultivosoloorganico*c_co2eq_cultivosolosorganicos),"-",cana_cultivosoloorganico*c_co2eq_cultivosolosorganicos)</f>
        <v>0</v>
      </c>
      <c r="G274" s="122">
        <f>IF(ISERROR(cana_cultivosoloorganico*c_n2o_perdanitrogenio),"-",cana_cultivosoloorganico*c_n2o_perdanitrogenio)</f>
        <v>0</v>
      </c>
      <c r="H274" s="123"/>
      <c r="I274" s="121">
        <f t="shared" si="13"/>
        <v>0</v>
      </c>
      <c r="J274" s="139"/>
    </row>
    <row r="275" spans="1:19" hidden="1" outlineLevel="1">
      <c r="A275" s="43"/>
      <c r="B275" s="375"/>
      <c r="C275" s="129" t="s">
        <v>106</v>
      </c>
      <c r="D275" s="119" t="s">
        <v>93</v>
      </c>
      <c r="E275" s="120" t="s">
        <v>225</v>
      </c>
      <c r="F275" s="121">
        <f>IF(ISERROR(IF(cana_tipoconsumocombustivel="Quantidade consumida",(cana_consumodiesel*(mistura_diesel_cana/100))*c_mecanizacao_co2,IF(cana_tipoconsumocombustivel="Operações mecanizadas",SUM(IF(cana_operacaomecanizada_aracao="Sim",c_horamaquina_canadeacucar_aracao*cana_operacaomecanizada_aracao_repeticoes,0),IF(cana_operacaomecanizada_calagem="Sim",c_horamaquina_canadeacucar_calagem*cana_operacaomecanizada_calagem_repeticoes,0),IF(cana_operacaomecanizada_cobricao="Sim",c_horamaquina_canadeacucar_cobricao*cana_operacaomecanizada_cobricao_repeticoes,0),IF(cana_operacaomecanizada_dessecacao="Sim",c_horamaquina_canadeacucar_dessecacao*cana_operacaomecanizada_dessecacao_repeticoes,0),IF(cana_operacaomecanizada_gradagem="Sim",c_horamaquina_canadeacucar_gradagem*cana_operacaomecanizada_gradagem_repeticoes,0),IF(cana_operacaomecanizada_gradagemniveladora="Sim",c_horamaquina_canadeacucar_gradagem*cana_operacaomecanizada_gradagemniveladora_repeticoes,0),IF(cana_operacaomecanizada_pulverizacao="Sim",c_horamaquina_canadeacucar_pulverizacao*cana_operacaomecanizada_pulverizacao_repeticoes,0),IF(cana_operacaomecanizada_sulcacao="Sim",c_horamaquina_canadeacucar_sulcacao*cana_operacaomecanizada_sulcacao_repeticoes,0),IF(cana_operacaomecanizada_terraceamento="Sim",c_horamaquina_canadeacucar_terraceamento*cana_operacaomecanizada_terraceamento_repeticoes,0))*c_mecanizacao_co2*20*(mistura_diesel_cana/100)*cana_areacultivada,0))),"-",IF(cana_tipoconsumocombustivel="Quantidade consumida",(cana_consumodiesel*(mistura_diesel_cana/100))*c_mecanizacao_co2,IF(cana_tipoconsumocombustivel="Operações mecanizadas",SUM(IF(cana_operacaomecanizada_aracao="Sim",c_horamaquina_canadeacucar_aracao*cana_operacaomecanizada_aracao_repeticoes,0),IF(cana_operacaomecanizada_calagem="Sim",c_horamaquina_canadeacucar_calagem*cana_operacaomecanizada_calagem_repeticoes,0),IF(cana_operacaomecanizada_cobricao="Sim",c_horamaquina_canadeacucar_cobricao*cana_operacaomecanizada_cobricao_repeticoes,0),IF(cana_operacaomecanizada_dessecacao="Sim",c_horamaquina_canadeacucar_dessecacao*cana_operacaomecanizada_dessecacao_repeticoes,0),IF(cana_operacaomecanizada_gradagem="Sim",c_horamaquina_canadeacucar_gradagem*cana_operacaomecanizada_gradagem_repeticoes,0),IF(cana_operacaomecanizada_gradagemniveladora="Sim",c_horamaquina_canadeacucar_gradagem*cana_operacaomecanizada_gradagemniveladora_repeticoes,0),IF(cana_operacaomecanizada_pulverizacao="Sim",c_horamaquina_canadeacucar_pulverizacao*cana_operacaomecanizada_pulverizacao_repeticoes,0),IF(cana_operacaomecanizada_sulcacao="Sim",c_horamaquina_canadeacucar_sulcacao*cana_operacaomecanizada_sulcacao_repeticoes,0),IF(cana_operacaomecanizada_terraceamento="Sim",c_horamaquina_canadeacucar_terraceamento*cana_operacaomecanizada_terraceamento_repeticoes,0))*c_mecanizacao_co2*20*(mistura_diesel_cana/100)*cana_areacultivada,0)))</f>
        <v>0</v>
      </c>
      <c r="G275" s="122">
        <f>IF(ISERROR(IF(cana_tipoconsumocombustivel="Quantidade consumida",(cana_consumodiesel*(mistura_diesel_cana/100))*c_mecanizacao_n2o,IF(cana_tipoconsumocombustivel="Operações mecanizadas",SUM(IF(cana_operacaomecanizada_aracao="Sim",c_horamaquina_canadeacucar_aracao*cana_operacaomecanizada_aracao_repeticoes,0),IF(cana_operacaomecanizada_calagem="Sim",c_horamaquina_canadeacucar_calagem*cana_operacaomecanizada_calagem_repeticoes,0),IF(cana_operacaomecanizada_cobricao="Sim",c_horamaquina_canadeacucar_cobricao*cana_operacaomecanizada_cobricao_repeticoes,0),IF(cana_operacaomecanizada_dessecacao="Sim",c_horamaquina_canadeacucar_dessecacao*cana_operacaomecanizada_dessecacao_repeticoes,0),IF(cana_operacaomecanizada_gradagem="Sim",c_horamaquina_canadeacucar_gradagem*cana_operacaomecanizada_gradagem_repeticoes,0),IF(cana_operacaomecanizada_gradagemniveladora="Sim",c_horamaquina_canadeacucar_gradagem*cana_operacaomecanizada_gradagemniveladora_repeticoes,0),IF(cana_operacaomecanizada_pulverizacao="Sim",c_horamaquina_canadeacucar_pulverizacao*cana_operacaomecanizada_pulverizacao_repeticoes,0),IF(cana_operacaomecanizada_sulcacao="Sim",c_horamaquina_canadeacucar_sulcacao*cana_operacaomecanizada_sulcacao_repeticoes,0),IF(cana_operacaomecanizada_terraceamento="Sim",c_horamaquina_canadeacucar_terraceamento*cana_operacaomecanizada_terraceamento_repeticoes,0))*c_mecanizacao_n2o*20*(mistura_diesel_cana/100)*cana_areacultivada,0))),"-",IF(cana_tipoconsumocombustivel="Quantidade consumida",(cana_consumodiesel*(mistura_diesel_cana/100))*c_mecanizacao_n2o,IF(cana_tipoconsumocombustivel="Operações mecanizadas",SUM(IF(cana_operacaomecanizada_aracao="Sim",c_horamaquina_canadeacucar_aracao*cana_operacaomecanizada_aracao_repeticoes,0),IF(cana_operacaomecanizada_calagem="Sim",c_horamaquina_canadeacucar_calagem*cana_operacaomecanizada_calagem_repeticoes,0),IF(cana_operacaomecanizada_cobricao="Sim",c_horamaquina_canadeacucar_cobricao*cana_operacaomecanizada_cobricao_repeticoes,0),IF(cana_operacaomecanizada_dessecacao="Sim",c_horamaquina_canadeacucar_dessecacao*cana_operacaomecanizada_dessecacao_repeticoes,0),IF(cana_operacaomecanizada_gradagem="Sim",c_horamaquina_canadeacucar_gradagem*cana_operacaomecanizada_gradagem_repeticoes,0),IF(cana_operacaomecanizada_gradagemniveladora="Sim",c_horamaquina_canadeacucar_gradagem*cana_operacaomecanizada_gradagemniveladora_repeticoes,0),IF(cana_operacaomecanizada_pulverizacao="Sim",c_horamaquina_canadeacucar_pulverizacao*cana_operacaomecanizada_pulverizacao_repeticoes,0),IF(cana_operacaomecanizada_sulcacao="Sim",c_horamaquina_canadeacucar_sulcacao*cana_operacaomecanizada_sulcacao_repeticoes,0),IF(cana_operacaomecanizada_terraceamento="Sim",c_horamaquina_canadeacucar_terraceamento*cana_operacaomecanizada_terraceamento_repeticoes,0))*c_mecanizacao_n2o*20*(mistura_diesel_cana/100)*cana_areacultivada,0)))</f>
        <v>0</v>
      </c>
      <c r="H275" s="127">
        <f>IF(ISERROR(IF(cana_tipoconsumocombustivel="Quantidade consumida",(cana_consumodiesel*(mistura_diesel_cana/100))*c_mecanizacao_ch4,IF(cana_tipoconsumocombustivel="Operações mecanizadas",SUM(IF(cana_operacaomecanizada_aracao="Sim",c_horamaquina_canadeacucar_aracao*cana_operacaomecanizada_aracao_repeticoes,0),IF(cana_operacaomecanizada_calagem="Sim",c_horamaquina_canadeacucar_calagem*cana_operacaomecanizada_calagem_repeticoes,0),IF(cana_operacaomecanizada_cobricao="Sim",c_horamaquina_canadeacucar_cobricao*cana_operacaomecanizada_cobricao_repeticoes,0),IF(cana_operacaomecanizada_dessecacao="Sim",c_horamaquina_canadeacucar_dessecacao*cana_operacaomecanizada_dessecacao_repeticoes,0),IF(cana_operacaomecanizada_gradagem="Sim",c_horamaquina_canadeacucar_gradagem*cana_operacaomecanizada_gradagem_repeticoes,0),IF(cana_operacaomecanizada_gradagemniveladora="Sim",c_horamaquina_canadeacucar_gradagem*cana_operacaomecanizada_gradagemniveladora_repeticoes,0),IF(cana_operacaomecanizada_pulverizacao="Sim",c_horamaquina_canadeacucar_pulverizacao*cana_operacaomecanizada_pulverizacao_repeticoes,0),IF(cana_operacaomecanizada_sulcacao="Sim",c_horamaquina_canadeacucar_sulcacao*cana_operacaomecanizada_sulcacao_repeticoes,0),IF(cana_operacaomecanizada_terraceamento="Sim",c_horamaquina_canadeacucar_terraceamento*cana_operacaomecanizada_terraceamento_repeticoes,0))*c_mecanizacao_ch4*20*(mistura_diesel_cana/100)*cana_areacultivada,0))),"-",IF(cana_tipoconsumocombustivel="Quantidade consumida",(cana_consumodiesel*(mistura_diesel_cana/100))*c_mecanizacao_ch4,IF(cana_tipoconsumocombustivel="Operações mecanizadas",SUM(IF(cana_operacaomecanizada_aracao="Sim",c_horamaquina_canadeacucar_aracao*cana_operacaomecanizada_aracao_repeticoes,0),IF(cana_operacaomecanizada_calagem="Sim",c_horamaquina_canadeacucar_calagem*cana_operacaomecanizada_calagem_repeticoes,0),IF(cana_operacaomecanizada_cobricao="Sim",c_horamaquina_canadeacucar_cobricao*cana_operacaomecanizada_cobricao_repeticoes,0),IF(cana_operacaomecanizada_dessecacao="Sim",c_horamaquina_canadeacucar_dessecacao*cana_operacaomecanizada_dessecacao_repeticoes,0),IF(cana_operacaomecanizada_gradagem="Sim",c_horamaquina_canadeacucar_gradagem*cana_operacaomecanizada_gradagem_repeticoes,0),IF(cana_operacaomecanizada_gradagemniveladora="Sim",c_horamaquina_canadeacucar_gradagem*cana_operacaomecanizada_gradagemniveladora_repeticoes,0),IF(cana_operacaomecanizada_pulverizacao="Sim",c_horamaquina_canadeacucar_pulverizacao*cana_operacaomecanizada_pulverizacao_repeticoes,0),IF(cana_operacaomecanizada_sulcacao="Sim",c_horamaquina_canadeacucar_sulcacao*cana_operacaomecanizada_sulcacao_repeticoes,0),IF(cana_operacaomecanizada_terraceamento="Sim",c_horamaquina_canadeacucar_terraceamento*cana_operacaomecanizada_terraceamento_repeticoes,0))*c_mecanizacao_ch4*20*(mistura_diesel_cana/100)*cana_areacultivada,0)))</f>
        <v>0</v>
      </c>
      <c r="I275" s="121">
        <f t="shared" si="13"/>
        <v>0</v>
      </c>
      <c r="J275" s="139"/>
    </row>
    <row r="276" spans="1:19" hidden="1" outlineLevel="1">
      <c r="A276" s="43"/>
      <c r="B276" s="130" t="s">
        <v>151</v>
      </c>
      <c r="C276" s="130" t="s">
        <v>213</v>
      </c>
      <c r="D276" s="130" t="s">
        <v>99</v>
      </c>
      <c r="E276" s="131" t="s">
        <v>225</v>
      </c>
      <c r="F276" s="132">
        <f>IF(ISERROR((c_emissaoexterna_fungicida*cana_aplicacaofungicida)+(c_emissaoexterna_herbicida*cana_aplicacaoherbicida)+(c_emissaoexterna_inseticida*cana_aplicacaoinseticida)),"-",(c_emissaoexterna_fungicida*cana_aplicacaofungicida)+(c_emissaoexterna_herbicida*cana_aplicacaoherbicida)+(c_emissaoexterna_inseticida*cana_aplicacaoinseticida))</f>
        <v>0</v>
      </c>
      <c r="G276" s="133"/>
      <c r="H276" s="134"/>
      <c r="I276" s="132">
        <f t="shared" si="13"/>
        <v>0</v>
      </c>
      <c r="J276" s="139"/>
    </row>
    <row r="277" spans="1:19" hidden="1" outlineLevel="1">
      <c r="A277" s="43"/>
      <c r="B277" s="380" t="s">
        <v>260</v>
      </c>
      <c r="C277" s="381"/>
      <c r="D277" s="135" t="s">
        <v>51</v>
      </c>
      <c r="E277" s="136" t="s">
        <v>225</v>
      </c>
      <c r="F277" s="137">
        <f>IF(ISERROR(IF(cana_tempoadocaosistema="Menor ou igual a 20 anos",cana_areacultivada*(c_mudancausosolo_cana*-1),0)),"-",IF(cana_tempoadocaosistema="Menor ou igual a 20 anos",cana_areacultivada*(c_mudancausosolo_cana*-1),0))</f>
        <v>0</v>
      </c>
      <c r="G277" s="138"/>
      <c r="H277" s="139"/>
      <c r="I277" s="140">
        <f t="shared" si="13"/>
        <v>0</v>
      </c>
      <c r="J277" s="141">
        <f>IF(ISERROR(IF(F277&lt;0,F277*-1,0)+IF(G277*pag_n2o&lt;0,G277*pag_n2o*-1,0)+IF(H277*pag_ch4&lt;0,H277*pag_ch4*-1,0)),"-",IF(F277&lt;0,F277*-1,0)+IF(G277*pag_n2o&lt;0,G277*pag_n2o*-1,0)+IF(H277*pag_ch4&lt;0,H277*pag_ch4*-1,0))</f>
        <v>0</v>
      </c>
    </row>
    <row r="278" spans="1:19" ht="13.5" hidden="1" outlineLevel="1" thickBot="1">
      <c r="A278" s="43"/>
      <c r="B278" s="382"/>
      <c r="C278" s="383"/>
      <c r="D278" s="135" t="s">
        <v>440</v>
      </c>
      <c r="E278" s="142" t="s">
        <v>225</v>
      </c>
      <c r="F278" s="143">
        <f>IF(ISERROR(IF(cana_tipoconsumocombustivel="Quantidade consumida",(cana_consumodiesel*(1-(mistura_diesel_cana/100)))*c_emissao_biodiesel,IF(cana_tipoconsumocombustivel="Operações mecanizadas",SUM(IF(cana_operacaomecanizada_aracao="Sim",c_horamaquina_canadeacucar_aracao*cana_operacaomecanizada_aracao_repeticoes,0),IF(cana_operacaomecanizada_calagem="Sim",c_horamaquina_canadeacucar_calagem*cana_operacaomecanizada_calagem_repeticoes,0),IF(cana_operacaomecanizada_cobricao="Sim",c_horamaquina_canadeacucar_cobricao*cana_operacaomecanizada_cobricao_repeticoes,0),IF(cana_operacaomecanizada_dessecacao="Sim",c_horamaquina_canadeacucar_dessecacao*cana_operacaomecanizada_dessecacao_repeticoes,0),IF(cana_operacaomecanizada_gradagem="Sim",c_horamaquina_canadeacucar_gradagem*cana_operacaomecanizada_gradagem_repeticoes,0),IF(cana_operacaomecanizada_gradagemniveladora="Sim",c_horamaquina_canadeacucar_gradagem*cana_operacaomecanizada_gradagemniveladora_repeticoes,0),IF(cana_operacaomecanizada_pulverizacao="Sim",c_horamaquina_canadeacucar_pulverizacao*cana_operacaomecanizada_pulverizacao_repeticoes,0),IF(cana_operacaomecanizada_sulcacao="Sim",c_horamaquina_canadeacucar_sulcacao*cana_operacaomecanizada_sulcacao_repeticoes,0),IF(cana_operacaomecanizada_terraceamento="Sim",c_horamaquina_canadeacucar_terraceamento*cana_operacaomecanizada_terraceamento_repeticoes,0))*c_emissao_biodiesel*20*(1-(mistura_diesel_cana/100))*cana_areacultivada,0))),"-",IF(cana_tipoconsumocombustivel="Quantidade consumida",(cana_consumodiesel*(1-(mistura_diesel_cana/100)))*c_emissao_biodiesel,IF(cana_tipoconsumocombustivel="Operações mecanizadas",SUM(IF(cana_operacaomecanizada_aracao="Sim",c_horamaquina_canadeacucar_aracao*cana_operacaomecanizada_aracao_repeticoes,0),IF(cana_operacaomecanizada_calagem="Sim",c_horamaquina_canadeacucar_calagem*cana_operacaomecanizada_calagem_repeticoes,0),IF(cana_operacaomecanizada_cobricao="Sim",c_horamaquina_canadeacucar_cobricao*cana_operacaomecanizada_cobricao_repeticoes,0),IF(cana_operacaomecanizada_dessecacao="Sim",c_horamaquina_canadeacucar_dessecacao*cana_operacaomecanizada_dessecacao_repeticoes,0),IF(cana_operacaomecanizada_gradagem="Sim",c_horamaquina_canadeacucar_gradagem*cana_operacaomecanizada_gradagem_repeticoes,0),IF(cana_operacaomecanizada_gradagemniveladora="Sim",c_horamaquina_canadeacucar_gradagem*cana_operacaomecanizada_gradagemniveladora_repeticoes,0),IF(cana_operacaomecanizada_pulverizacao="Sim",c_horamaquina_canadeacucar_pulverizacao*cana_operacaomecanizada_pulverizacao_repeticoes,0),IF(cana_operacaomecanizada_sulcacao="Sim",c_horamaquina_canadeacucar_sulcacao*cana_operacaomecanizada_sulcacao_repeticoes,0),IF(cana_operacaomecanizada_terraceamento="Sim",c_horamaquina_canadeacucar_terraceamento*cana_operacaomecanizada_terraceamento_repeticoes,0))*c_emissao_biodiesel*20*(1-(mistura_diesel_cana/100))*cana_areacultivada,0)))</f>
        <v>0</v>
      </c>
      <c r="G278" s="144"/>
      <c r="H278" s="145"/>
      <c r="I278" s="146">
        <f t="shared" si="13"/>
        <v>0</v>
      </c>
      <c r="J278" s="145"/>
    </row>
    <row r="279" spans="1:19" hidden="1" outlineLevel="1">
      <c r="A279" s="43"/>
      <c r="B279" s="148"/>
      <c r="C279" s="149"/>
      <c r="D279" s="149"/>
      <c r="E279" s="150" t="s">
        <v>438</v>
      </c>
      <c r="F279" s="151">
        <f>IF(ISERROR(SUMIF(F266:F278,"&gt;=0")),"-",SUMIF(F266:F278,"&gt;=0"))</f>
        <v>0</v>
      </c>
      <c r="G279" s="152">
        <f t="shared" ref="G279" si="14">IF(ISERROR(SUMIF(G266:G278,"&gt;=0")),"-",SUMIF(G266:G278,"&gt;=0"))</f>
        <v>0</v>
      </c>
      <c r="H279" s="153">
        <f t="shared" ref="H279" si="15">IF(ISERROR(SUMIF(H266:H278,"&gt;=0")),"-",SUMIF(H266:H278,"&gt;=0"))</f>
        <v>0</v>
      </c>
      <c r="I279" s="151">
        <f>IF(ISERROR(SUMIF(I266:I278,"&gt;=0")),"-",SUMIF(I266:I278,"&gt;=0"))</f>
        <v>0</v>
      </c>
      <c r="J279" s="154">
        <f>IF(ISERROR(SUMIF(J266:J278,"&gt;=0")),"-",SUMIF(J266:J278,"&gt;=0"))</f>
        <v>0</v>
      </c>
      <c r="R279" s="43"/>
      <c r="S279" s="43"/>
    </row>
    <row r="280" spans="1:19" ht="15.75" hidden="1" outlineLevel="1">
      <c r="A280" s="43"/>
      <c r="B280" s="155"/>
      <c r="C280" s="156"/>
      <c r="D280" s="156"/>
      <c r="E280" s="157" t="s">
        <v>455</v>
      </c>
      <c r="F280" s="158">
        <f>IF(ISERROR(F279),"-",F279)</f>
        <v>0</v>
      </c>
      <c r="G280" s="159">
        <f>IF(ISERROR(G279*pag_n2o),"-",G279*pag_n2o)</f>
        <v>0</v>
      </c>
      <c r="H280" s="160">
        <f>IF(ISERROR(H279*pag_ch4),"-",H279*pag_ch4)</f>
        <v>0</v>
      </c>
      <c r="I280" s="187"/>
      <c r="J280" s="124"/>
      <c r="R280" s="43"/>
      <c r="S280" s="43"/>
    </row>
    <row r="281" spans="1:19" ht="13.5" hidden="1" outlineLevel="1" thickBot="1">
      <c r="A281" s="43"/>
      <c r="B281" s="163"/>
      <c r="C281" s="164"/>
      <c r="D281" s="164"/>
      <c r="E281" s="165" t="s">
        <v>443</v>
      </c>
      <c r="F281" s="166">
        <f>IF(ISERROR(SUMIF(F266:F278,"&lt;0")*-1),"-",SUMIF(F266:F278,"&lt;0")*-1)</f>
        <v>0</v>
      </c>
      <c r="G281" s="167"/>
      <c r="H281" s="168"/>
      <c r="I281" s="191"/>
      <c r="J281" s="168"/>
      <c r="R281" s="43"/>
      <c r="S281" s="43"/>
    </row>
    <row r="282" spans="1:19" hidden="1" outlineLevel="1">
      <c r="B282" s="43"/>
      <c r="C282" s="43"/>
      <c r="D282" s="43"/>
      <c r="E282" s="43"/>
      <c r="F282" s="43"/>
      <c r="G282" s="43"/>
      <c r="H282" s="43"/>
      <c r="I282" s="43"/>
      <c r="J282" s="43"/>
      <c r="Q282" s="43"/>
      <c r="R282" s="43"/>
      <c r="S282" s="43"/>
    </row>
    <row r="283" spans="1:19" hidden="1" outlineLevel="1">
      <c r="B283" s="367" t="s">
        <v>524</v>
      </c>
      <c r="C283" s="367"/>
      <c r="D283" s="367"/>
      <c r="E283" s="43"/>
      <c r="F283" s="43"/>
      <c r="G283" s="43"/>
      <c r="H283" s="43"/>
      <c r="I283" s="43"/>
      <c r="J283" s="43"/>
      <c r="Q283" s="43"/>
      <c r="R283" s="43"/>
      <c r="S283" s="43"/>
    </row>
    <row r="284" spans="1:19" ht="15.75" hidden="1" outlineLevel="1">
      <c r="B284" s="171"/>
      <c r="C284" s="172" t="s">
        <v>525</v>
      </c>
      <c r="D284" s="172" t="s">
        <v>526</v>
      </c>
      <c r="E284" s="43"/>
      <c r="F284" s="43"/>
      <c r="G284" s="43"/>
      <c r="H284" s="43"/>
      <c r="I284" s="43"/>
      <c r="J284" s="43"/>
      <c r="Q284" s="43"/>
      <c r="R284" s="43"/>
      <c r="S284" s="43"/>
    </row>
    <row r="285" spans="1:19" hidden="1" outlineLevel="1">
      <c r="B285" s="173" t="s">
        <v>109</v>
      </c>
      <c r="C285" s="174">
        <f>IF(ISERROR(cana_areaqueimaresiduos*cana_produtividademedia*c_queimaresiduocana_co),"-",cana_areaqueimaresiduos*cana_produtividademedia*c_queimaresiduocana_co)</f>
        <v>0</v>
      </c>
      <c r="D285" s="174">
        <f>IF(ISERROR(C285*conversor_co_co2),"-",C285*conversor_co_co2)</f>
        <v>0</v>
      </c>
      <c r="E285" s="43"/>
      <c r="F285" s="43"/>
      <c r="G285" s="43"/>
      <c r="H285" s="43"/>
      <c r="I285" s="43"/>
      <c r="J285" s="43"/>
      <c r="Q285" s="43"/>
      <c r="R285" s="43"/>
      <c r="S285" s="43"/>
    </row>
    <row r="286" spans="1:19" ht="15.75" hidden="1" outlineLevel="1">
      <c r="B286" s="173" t="s">
        <v>253</v>
      </c>
      <c r="C286" s="174">
        <f>IF(ISERROR(cana_areaqueimaresiduos*cana_produtividademedia*c_queimaresiduocana_nox),"-",cana_areaqueimaresiduos*cana_produtividademedia*c_queimaresiduocana_nox)</f>
        <v>0</v>
      </c>
      <c r="D286" s="174">
        <f>IF(ISERROR(conversor_no2_n2o*C286*pag_n2o),"-",conversor_no2_n2o*C286*pag_n2o)</f>
        <v>0</v>
      </c>
      <c r="E286" s="43"/>
      <c r="F286" s="43"/>
      <c r="G286" s="43"/>
      <c r="H286" s="43"/>
      <c r="I286" s="43"/>
      <c r="J286" s="43"/>
      <c r="Q286" s="43"/>
      <c r="R286" s="43"/>
      <c r="S286" s="43"/>
    </row>
    <row r="287" spans="1:19">
      <c r="B287" s="43"/>
      <c r="C287" s="43"/>
      <c r="D287" s="43"/>
      <c r="E287" s="43"/>
      <c r="F287" s="43"/>
      <c r="G287" s="43"/>
      <c r="H287" s="43"/>
      <c r="I287" s="43"/>
      <c r="J287" s="43"/>
      <c r="Q287" s="43"/>
      <c r="R287" s="43"/>
      <c r="S287" s="43"/>
    </row>
    <row r="288" spans="1:19" collapsed="1">
      <c r="A288" s="100"/>
      <c r="B288" s="368" t="s">
        <v>53</v>
      </c>
      <c r="C288" s="368"/>
      <c r="D288" s="368"/>
      <c r="E288" s="368"/>
      <c r="F288" s="368"/>
      <c r="G288" s="368"/>
      <c r="H288" s="368"/>
      <c r="I288" s="368"/>
      <c r="J288" s="369"/>
    </row>
    <row r="289" spans="2:10" hidden="1" outlineLevel="1"/>
    <row r="290" spans="2:10" hidden="1" outlineLevel="1">
      <c r="B290" s="384" t="s">
        <v>445</v>
      </c>
      <c r="C290" s="384"/>
      <c r="D290" s="384"/>
      <c r="E290" s="384"/>
      <c r="F290" s="43"/>
      <c r="G290" s="43"/>
      <c r="H290" s="43"/>
      <c r="I290" s="43"/>
      <c r="J290" s="43"/>
    </row>
    <row r="291" spans="2:10" ht="28.5" hidden="1" outlineLevel="1">
      <c r="B291" s="101"/>
      <c r="C291" s="102" t="s">
        <v>386</v>
      </c>
      <c r="D291" s="102" t="s">
        <v>385</v>
      </c>
      <c r="E291" s="102" t="s">
        <v>453</v>
      </c>
      <c r="F291" s="43"/>
      <c r="G291" s="43"/>
      <c r="H291" s="43"/>
      <c r="I291" s="43"/>
      <c r="J291" s="43"/>
    </row>
    <row r="292" spans="2:10" hidden="1" outlineLevel="1">
      <c r="B292" s="103" t="s">
        <v>105</v>
      </c>
      <c r="C292" s="104">
        <f>IF(ISERROR(SUM(I301:I311)),"-",SUM(I301:I311))</f>
        <v>0</v>
      </c>
      <c r="D292" s="104" t="str">
        <f>IF(ISERROR(C292/pecuariapastagem_areacultivada),"-",C292/pecuariapastagem_areacultivada)</f>
        <v>-</v>
      </c>
      <c r="E292" s="104" t="str">
        <f>IF(ISERROR(C292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,"-",C292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</f>
        <v>-</v>
      </c>
      <c r="G292" s="43"/>
      <c r="H292" s="43"/>
      <c r="I292" s="43"/>
      <c r="J292" s="43"/>
    </row>
    <row r="293" spans="2:10" hidden="1" outlineLevel="1">
      <c r="B293" s="105" t="s">
        <v>151</v>
      </c>
      <c r="C293" s="106">
        <f>IF(ISERROR(I312),"-",I312)</f>
        <v>0</v>
      </c>
      <c r="D293" s="106" t="str">
        <f>IF(ISERROR(C293/pecuariapastagem_areacultivada),"-",C293/pecuariapastagem_areacultivada)</f>
        <v>-</v>
      </c>
      <c r="E293" s="106" t="str">
        <f>IF(ISERROR(C293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,"-",C293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</f>
        <v>-</v>
      </c>
      <c r="G293" s="43"/>
      <c r="H293" s="43"/>
      <c r="I293" s="43"/>
      <c r="J293" s="43"/>
    </row>
    <row r="294" spans="2:10" hidden="1" outlineLevel="1">
      <c r="B294" s="107" t="s">
        <v>173</v>
      </c>
      <c r="C294" s="108">
        <f>IF(ISERROR(SUM(I313:I314)),"-",SUM(I313:I314))</f>
        <v>0</v>
      </c>
      <c r="D294" s="108" t="str">
        <f>IF(ISERROR(C294/pecuariapastagem_areacultivada),"-",C294/pecuariapastagem_areacultivada)</f>
        <v>-</v>
      </c>
      <c r="E294" s="108" t="str">
        <f>IF(ISERROR(C294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,"-",C294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</f>
        <v>-</v>
      </c>
      <c r="G294" s="43"/>
      <c r="H294" s="43"/>
      <c r="I294" s="43"/>
      <c r="J294" s="43"/>
    </row>
    <row r="295" spans="2:10" ht="15.75" hidden="1" outlineLevel="1">
      <c r="B295" s="109" t="s">
        <v>422</v>
      </c>
      <c r="C295" s="110">
        <f>IF(ISERROR(J315),"-",J315)</f>
        <v>0</v>
      </c>
      <c r="D295" s="110" t="str">
        <f>IF(ISERROR(C295/pecuariapastagem_areacultivada),"-",C295/pecuariapastagem_areacultivada)</f>
        <v>-</v>
      </c>
      <c r="E295" s="110" t="str">
        <f>IF(ISERROR(C295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,"-",C295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</f>
        <v>-</v>
      </c>
      <c r="G295" s="43"/>
      <c r="H295" s="43"/>
      <c r="I295" s="43"/>
      <c r="J295" s="43"/>
    </row>
    <row r="296" spans="2:10" hidden="1" outlineLevel="1">
      <c r="B296" s="111" t="s">
        <v>169</v>
      </c>
      <c r="C296" s="112">
        <f>IF(ISERROR(SUM(C292:C294)-C295),"-",SUM(C292:C294)-C295)</f>
        <v>0</v>
      </c>
      <c r="D296" s="112" t="str">
        <f>IF(ISERROR(C296/pecuariapastagem_areacultivada),"-",C296/pecuariapastagem_areacultivada)</f>
        <v>-</v>
      </c>
      <c r="E296" s="112" t="str">
        <f>IF(ISERROR(C296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,"-",C296/(SUM(pecuariapastagem_numeroanimais1,pecuariapastagem_numeroanimais2,pecuariapastagem_numeroanimais3,pecuariapastagem_numeroanimais4,pecuariapastagem_numeroanimais5,pecuariapastagem_numeroanimais6,pecuariapastagem_numeroanimais7,pecuariapastagem_numeroanimais8,pecuariapastagem_numeroanimais9,pecuariapastagem_numeroanimais10,pecuariapastagem_numeroanimais11,pecuariapastagem_numeroanimais12,pecuariapastagem_numeroanimais13,pecuariapastagem_numeroanimais14,pecuariapastagem_numeroanimais15,pecuariapastagem_numeroanimais16,pecuariapastagem_numeroanimais17,pecuariapastagem_numeroanimais18,pecuariapastagem_numeroanimais19,pecuariapastagem_numeroanimais20)))</f>
        <v>-</v>
      </c>
      <c r="G296" s="43"/>
      <c r="H296" s="52"/>
      <c r="I296" s="43"/>
      <c r="J296" s="43"/>
    </row>
    <row r="297" spans="2:10" hidden="1" outlineLevel="1">
      <c r="B297" s="43"/>
      <c r="C297" s="43"/>
      <c r="D297" s="43"/>
      <c r="E297" s="43"/>
      <c r="F297" s="43"/>
      <c r="G297" s="43"/>
      <c r="H297" s="52"/>
      <c r="I297" s="43"/>
      <c r="J297" s="43"/>
    </row>
    <row r="298" spans="2:10" ht="13.5" hidden="1" outlineLevel="1" thickBot="1">
      <c r="B298" s="367" t="s">
        <v>446</v>
      </c>
      <c r="C298" s="367"/>
      <c r="D298" s="367"/>
      <c r="E298" s="367"/>
      <c r="F298" s="367"/>
      <c r="G298" s="367"/>
      <c r="H298" s="367"/>
      <c r="I298" s="367"/>
      <c r="J298" s="367"/>
    </row>
    <row r="299" spans="2:10" hidden="1" outlineLevel="1">
      <c r="B299" s="113"/>
      <c r="C299" s="114"/>
      <c r="D299" s="114"/>
      <c r="E299" s="114"/>
      <c r="F299" s="370" t="s">
        <v>108</v>
      </c>
      <c r="G299" s="371"/>
      <c r="H299" s="372"/>
      <c r="I299" s="385" t="s">
        <v>456</v>
      </c>
      <c r="J299" s="387" t="s">
        <v>444</v>
      </c>
    </row>
    <row r="300" spans="2:10" ht="15.75" hidden="1" outlineLevel="1">
      <c r="B300" s="389" t="s">
        <v>259</v>
      </c>
      <c r="C300" s="390"/>
      <c r="D300" s="391"/>
      <c r="E300" s="115" t="s">
        <v>232</v>
      </c>
      <c r="F300" s="116" t="s">
        <v>215</v>
      </c>
      <c r="G300" s="117" t="s">
        <v>217</v>
      </c>
      <c r="H300" s="118" t="s">
        <v>216</v>
      </c>
      <c r="I300" s="386"/>
      <c r="J300" s="388"/>
    </row>
    <row r="301" spans="2:10" hidden="1" outlineLevel="1">
      <c r="B301" s="373" t="s">
        <v>105</v>
      </c>
      <c r="C301" s="376" t="s">
        <v>168</v>
      </c>
      <c r="D301" s="119" t="s">
        <v>255</v>
      </c>
      <c r="E301" s="120" t="s">
        <v>225</v>
      </c>
      <c r="F301" s="121">
        <f>IF(ISERROR(c_co2_ureia*pecuariapastagem_aplicacaoureia),"-",c_co2_ureia*pecuariapastagem_aplicacaoureia)</f>
        <v>0</v>
      </c>
      <c r="G301" s="122">
        <f>IF(ISERROR(c_n2o_fertilizantesintetico*((pecuariapastagem_aplicacaoureia*45)/100)),"-",c_n2o_fertilizantesintetico*((pecuariapastagem_aplicacaoureia*45)/100))</f>
        <v>0</v>
      </c>
      <c r="H301" s="123"/>
      <c r="I301" s="121">
        <f>IF(ISERROR(IF(F301&gt;=0,F301,0)+IF(G301*pag_n2o&gt;=0,G301*pag_n2o,0)+IF(H301*pag_ch4&gt;=0,H301*pag_ch4,0)),"-",IF(F301&gt;=0,F301,0)+IF(G301*pag_n2o&gt;=0,G301*pag_n2o,0)+IF(H301*pag_ch4&gt;=0,H301*pag_ch4,0))</f>
        <v>0</v>
      </c>
      <c r="J301" s="139"/>
    </row>
    <row r="302" spans="2:10" hidden="1" outlineLevel="1">
      <c r="B302" s="374"/>
      <c r="C302" s="377"/>
      <c r="D302" s="119" t="s">
        <v>6</v>
      </c>
      <c r="E302" s="120" t="s">
        <v>225</v>
      </c>
      <c r="F302" s="121">
        <f>IF(ISERROR((pecuariapastagem_calcariocalcitico*c_co2_calcariocalcitico)+(pecuariapastagem_calcariodolomitico*c_co2_calcariodolomitico)),"-",(pecuariapastagem_calcariocalcitico*c_co2_calcariocalcitico)+(pecuariapastagem_calcariodolomitico*c_co2_calcariodolomitico))</f>
        <v>0</v>
      </c>
      <c r="G302" s="125"/>
      <c r="H302" s="123"/>
      <c r="I302" s="121">
        <f>IF(ISERROR(IF(F302&gt;=0,F302,0)+IF(G302*pag_n2o&gt;=0,G302*pag_n2o,0)+IF(H302*pag_ch4&gt;=0,H302*pag_ch4,0)),"-",IF(F302&gt;=0,F302,0)+IF(G302*pag_n2o&gt;=0,G302*pag_n2o,0)+IF(H302*pag_ch4&gt;=0,H302*pag_ch4,0))</f>
        <v>0</v>
      </c>
      <c r="J302" s="139"/>
    </row>
    <row r="303" spans="2:10" hidden="1" outlineLevel="1">
      <c r="B303" s="374"/>
      <c r="C303" s="377"/>
      <c r="D303" s="119" t="s">
        <v>49</v>
      </c>
      <c r="E303" s="120" t="s">
        <v>243</v>
      </c>
      <c r="F303" s="126"/>
      <c r="G303" s="122">
        <f>IF(ISERROR(c_n2o_fertilizantesintetico*((pecuariapastagem_adubacaonitrogenadasintetica*pecuariapastagem_nadubosintetico)/100)),"-",c_n2o_fertilizantesintetico*((pecuariapastagem_adubacaonitrogenadasintetica*pecuariapastagem_nadubosintetico)/100))</f>
        <v>0</v>
      </c>
      <c r="H303" s="123"/>
      <c r="I303" s="121">
        <f>IF(ISERROR(IF(F303&gt;=0,F303,0)+IF(G303*pag_n2o&gt;=0,G303*pag_n2o,0)+IF(H303*pag_ch4&gt;=0,H303*pag_ch4,0)),"-",IF(F303&gt;=0,F303,0)+IF(G303*pag_n2o&gt;=0,G303*pag_n2o,0)+IF(H303*pag_ch4&gt;=0,H303*pag_ch4,0))</f>
        <v>0</v>
      </c>
      <c r="J303" s="139"/>
    </row>
    <row r="304" spans="2:10" hidden="1" outlineLevel="1">
      <c r="B304" s="374"/>
      <c r="C304" s="377"/>
      <c r="D304" s="119" t="s">
        <v>50</v>
      </c>
      <c r="E304" s="120" t="s">
        <v>225</v>
      </c>
      <c r="F304" s="126"/>
      <c r="G304" s="122">
        <f>IF(ISERROR((pecuariapastagem_adubacaoorganicacompostoorganico*c_n2o_compostoorganico)+(pecuariapastagem_adubacaoorganicaestercogeral*c_n2o_estercogeral)+(pecuariapastagem_adubacaoorganicaestercoavicola*c_n2o_estercoavicola)+(pecuariapastagem_adubacaoorganicaoutros*c_n2o_aduboorganicogeral)),"-",(pecuariapastagem_adubacaoorganicacompostoorganico*c_n2o_compostoorganico)+(pecuariapastagem_adubacaoorganicaestercogeral*c_n2o_estercogeral)+(pecuariapastagem_adubacaoorganicaestercoavicola*c_n2o_estercoavicola)+(pecuariapastagem_adubacaoorganicaoutros*c_n2o_aduboorganicogeral))</f>
        <v>0</v>
      </c>
      <c r="H304" s="123"/>
      <c r="I304" s="121">
        <f t="shared" ref="I304:I312" si="16">IF(ISERROR(IF(F304&gt;=0,F304,0)+IF(G304*pag_n2o&gt;=0,G304*pag_n2o,0)+IF(H304*pag_ch4&gt;=0,H304*pag_ch4,0)),"-",IF(F304&gt;=0,F304,0)+IF(G304*pag_n2o&gt;=0,G304*pag_n2o,0)+IF(H304*pag_ch4&gt;=0,H304*pag_ch4,0))</f>
        <v>0</v>
      </c>
      <c r="J304" s="139"/>
    </row>
    <row r="305" spans="2:10" hidden="1" outlineLevel="1">
      <c r="B305" s="374"/>
      <c r="C305" s="377"/>
      <c r="D305" s="119" t="s">
        <v>258</v>
      </c>
      <c r="E305" s="120" t="s">
        <v>256</v>
      </c>
      <c r="F305" s="126"/>
      <c r="G305" s="122">
        <f>IF(ISERROR(((pecuariapastagem_aplicacaoureia*45)/100+(pecuariapastagem_adubacaonitrogenadasintetica*pecuariapastagem_nadubosintetico)/100+(pecuariapastagem_adubacaoorganicacompostoorganico*c_compostoorganico_teornitrogenio)/100+(pecuariapastagem_adubacaoorganicaestercoavicola*c_estercoavicola_teornitrogenio)/100+(pecuariapastagem_adubacaoorganicaestercogeral*c_estercogeral_teornitrogenio)/100+(pecuariapastagem_adubacaoorganicaoutros*c_aduboorganicogeral_teornitrogenio)/100)*0.3*0.025),"-",((pecuariapastagem_aplicacaoureia*45)/100+(pecuariapastagem_adubacaonitrogenadasintetica*pecuariapastagem_nadubosintetico)/100+(pecuariapastagem_adubacaoorganicacompostoorganico*c_compostoorganico_teornitrogenio)/100+(pecuariapastagem_adubacaoorganicaestercoavicola*c_estercoavicola_teornitrogenio)/100+(pecuariapastagem_adubacaoorganicaestercogeral*c_estercogeral_teornitrogenio)/100+(pecuariapastagem_adubacaoorganicaoutros*c_aduboorganicogeral_teornitrogenio)/100)*0.3*0.025)</f>
        <v>0</v>
      </c>
      <c r="H305" s="123"/>
      <c r="I305" s="121">
        <f t="shared" si="16"/>
        <v>0</v>
      </c>
      <c r="J305" s="139"/>
    </row>
    <row r="306" spans="2:10" hidden="1" outlineLevel="1">
      <c r="B306" s="374"/>
      <c r="C306" s="377"/>
      <c r="D306" s="119" t="s">
        <v>437</v>
      </c>
      <c r="E306" s="120" t="s">
        <v>256</v>
      </c>
      <c r="F306" s="126"/>
      <c r="G306" s="122">
        <f>IF(ISERROR(((((pecuariapastagem_aplicacaoureia*45)/100+(pecuariapastagem_adubacaonitrogenadasintetica*pecuariapastagem_nadubosintetico)/100)*0.1)+(((pecuariapastagem_adubacaoorganicacompostoorganico*c_compostoorganico_teornitrogenio)/100+(pecuariapastagem_adubacaoorganicaestercoavicola*c_estercoavicola_teornitrogenio)/100+(pecuariapastagem_adubacaoorganicaestercogeral*c_estercogeral_teornitrogenio)/100+(pecuariapastagem_adubacaoorganicaoutros*c_aduboorganicogeral_teornitrogenio)/100)*0.2))*0.01),"-",((((pecuariapastagem_aplicacaoureia*45)/100+(pecuariapastagem_adubacaonitrogenadasintetica*pecuariapastagem_nadubosintetico)/100)*0.1)+(((pecuariapastagem_adubacaoorganicacompostoorganico*c_compostoorganico_teornitrogenio)/100+(pecuariapastagem_adubacaoorganicaestercoavicola*c_estercoavicola_teornitrogenio)/100+(pecuariapastagem_adubacaoorganicaestercogeral*c_estercogeral_teornitrogenio)/100+(pecuariapastagem_adubacaoorganicaoutros*c_aduboorganicogeral_teornitrogenio)/100)*0.2))*0.01)</f>
        <v>0</v>
      </c>
      <c r="H306" s="123"/>
      <c r="I306" s="121">
        <f t="shared" si="16"/>
        <v>0</v>
      </c>
      <c r="J306" s="139"/>
    </row>
    <row r="307" spans="2:10" hidden="1" outlineLevel="1">
      <c r="B307" s="374"/>
      <c r="C307" s="377"/>
      <c r="D307" s="128" t="s">
        <v>257</v>
      </c>
      <c r="E307" s="120" t="s">
        <v>225</v>
      </c>
      <c r="F307" s="121">
        <f>IF(ISERROR(pecuariapastagem_cultivosoloorganico*c_co2eq_cultivosolosorganicos),"-",pecuariapastagem_cultivosoloorganico*c_co2eq_cultivosolosorganicos)</f>
        <v>0</v>
      </c>
      <c r="G307" s="122">
        <f>IF(ISERROR(pecuariapastagem_cultivosoloorganico*c_n2o_perdanitrogenio),"-",pecuariapastagem_cultivosoloorganico*c_n2o_perdanitrogenio)</f>
        <v>0</v>
      </c>
      <c r="H307" s="123"/>
      <c r="I307" s="121">
        <f t="shared" si="16"/>
        <v>0</v>
      </c>
      <c r="J307" s="139"/>
    </row>
    <row r="308" spans="2:10" hidden="1" outlineLevel="1">
      <c r="B308" s="374"/>
      <c r="C308" s="377"/>
      <c r="D308" s="128" t="s">
        <v>416</v>
      </c>
      <c r="E308" s="120" t="s">
        <v>450</v>
      </c>
      <c r="F308" s="126"/>
      <c r="G308" s="122">
        <f>IF(ISERROR(pecuariapastagem_numeroanimais1*c_sistmanejdej1*(_xlfn.DAYS(pecuariapastagem_datasaidaanimais1,pecuariapastagem_dataentradaanimais1)/365)),0,pecuariapastagem_numeroanimais1*c_sistmanejdej1*(_xlfn.DAYS(pecuariapastagem_datasaidaanimais1,pecuariapastagem_dataentradaanimais1)/365))+
IF(ISERROR(pecuariapastagem_numeroanimais2*c_sistmanejdej2*(_xlfn.DAYS(pecuariapastagem_datasaidaanimais2,pecuariapastagem_dataentradaanimais2)/365)),0,pecuariapastagem_numeroanimais2*c_sistmanejdej2*(_xlfn.DAYS(pecuariapastagem_datasaidaanimais2,pecuariapastagem_dataentradaanimais1)/365))+
IF(ISERROR(pecuariapastagem_numeroanimais3*c_sistmanejdej3*(_xlfn.DAYS(pecuariapastagem_datasaidaanimais3,pecuariapastagem_dataentradaanimais3)/365)),0,pecuariapastagem_numeroanimais3*c_sistmanejdej3*(_xlfn.DAYS(pecuariapastagem_datasaidaanimais3,pecuariapastagem_dataentradaanimais1)/365))+
IF(ISERROR(pecuariapastagem_numeroanimais4*c_sistmanejdej4*(_xlfn.DAYS(pecuariapastagem_datasaidaanimais4,pecuariapastagem_dataentradaanimais4)/365)),0,pecuariapastagem_numeroanimais4*c_sistmanejdej4*(_xlfn.DAYS(pecuariapastagem_datasaidaanimais4,pecuariapastagem_dataentradaanimais1)/365))+
IF(ISERROR(pecuariapastagem_numeroanimais5*c_sistmanejdej5*(_xlfn.DAYS(pecuariapastagem_datasaidaanimais5,pecuariapastagem_dataentradaanimais5)/365)),0,pecuariapastagem_numeroanimais5*c_sistmanejdej5*(_xlfn.DAYS(pecuariapastagem_datasaidaanimais5,pecuariapastagem_dataentradaanimais1)/365))+
IF(ISERROR(pecuariapastagem_numeroanimais6*c_sistmanejdej6*(_xlfn.DAYS(pecuariapastagem_datasaidaanimais6,pecuariapastagem_dataentradaanimais6)/365)),0,pecuariapastagem_numeroanimais6*c_sistmanejdej6*(_xlfn.DAYS(pecuariapastagem_datasaidaanimais6,pecuariapastagem_dataentradaanimais1)/365))+
IF(ISERROR(pecuariapastagem_numeroanimais7*c_sistmanejdej7*(_xlfn.DAYS(pecuariapastagem_datasaidaanimais7,pecuariapastagem_dataentradaanimais7)/365)),0,pecuariapastagem_numeroanimais7*c_sistmanejdej7*(_xlfn.DAYS(pecuariapastagem_datasaidaanimais7,pecuariapastagem_dataentradaanimais1)/365))+
IF(ISERROR(pecuariapastagem_numeroanimais8*c_sistmanejdej8*(_xlfn.DAYS(pecuariapastagem_datasaidaanimais8,pecuariapastagem_dataentradaanimais8)/365)),0,pecuariapastagem_numeroanimais8*c_sistmanejdej8*(_xlfn.DAYS(pecuariapastagem_datasaidaanimais8,pecuariapastagem_dataentradaanimais1)/365))+
IF(ISERROR(pecuariapastagem_numeroanimais9*c_sistmanejdej9*(_xlfn.DAYS(pecuariapastagem_datasaidaanimais9,pecuariapastagem_dataentradaanimais9)/365)),0,pecuariapastagem_numeroanimais9*c_sistmanejdej9*(_xlfn.DAYS(pecuariapastagem_datasaidaanimais9,pecuariapastagem_dataentradaanimais1)/365))+
IF(ISERROR(pecuariapastagem_numeroanimais10*c_sistmanejdej10*(_xlfn.DAYS(pecuariapastagem_datasaidaanimais10,pecuariapastagem_dataentradaanimais10)/365)),0,pecuariapastagem_numeroanimais10*c_sistmanejdej10*(_xlfn.DAYS(pecuariapastagem_datasaidaanimais10,pecuariapastagem_dataentradaanimais1)/365))+
IF(ISERROR(pecuariapastagem_numeroanimais11*c_sistmanejdej11*(_xlfn.DAYS(pecuariapastagem_datasaidaanimais11,pecuariapastagem_dataentradaanimais11)/365)),0,pecuariapastagem_numeroanimais11*c_sistmanejdej11*(_xlfn.DAYS(pecuariapastagem_datasaidaanimais11,pecuariapastagem_dataentradaanimais1)/365))+
IF(ISERROR(pecuariapastagem_numeroanimais12*c_sistmanejdej12*(_xlfn.DAYS(pecuariapastagem_datasaidaanimais12,pecuariapastagem_dataentradaanimais12)/365)),0,pecuariapastagem_numeroanimais12*c_sistmanejdej12*(_xlfn.DAYS(pecuariapastagem_datasaidaanimais12,pecuariapastagem_dataentradaanimais1)/365))+
IF(ISERROR(pecuariapastagem_numeroanimais13*c_sistmanejdej13*(_xlfn.DAYS(pecuariapastagem_datasaidaanimais13,pecuariapastagem_dataentradaanimais13)/365)),0,pecuariapastagem_numeroanimais13*c_sistmanejdej13*(_xlfn.DAYS(pecuariapastagem_datasaidaanimais13,pecuariapastagem_dataentradaanimais1)/365))+
IF(ISERROR(pecuariapastagem_numeroanimais14*c_sistmanejdej14*(_xlfn.DAYS(pecuariapastagem_datasaidaanimais14,pecuariapastagem_dataentradaanimais14)/365)),0,pecuariapastagem_numeroanimais14*c_sistmanejdej14*(_xlfn.DAYS(pecuariapastagem_datasaidaanimais14,pecuariapastagem_dataentradaanimais1)/365))+
IF(ISERROR(pecuariapastagem_numeroanimais15*c_sistmanejdej15*(_xlfn.DAYS(pecuariapastagem_datasaidaanimais15,pecuariapastagem_dataentradaanimais15)/365)),0,pecuariapastagem_numeroanimais15*c_sistmanejdej15*(_xlfn.DAYS(pecuariapastagem_datasaidaanimais15,pecuariapastagem_dataentradaanimais1)/365))+
IF(ISERROR(pecuariapastagem_numeroanimais16*c_sistmanejdej16*(_xlfn.DAYS(pecuariapastagem_datasaidaanimais16,pecuariapastagem_dataentradaanimais16)/365)),0,pecuariapastagem_numeroanimais16*c_sistmanejdej16*(_xlfn.DAYS(pecuariapastagem_datasaidaanimais16,pecuariapastagem_dataentradaanimais1)/365))+
IF(ISERROR(pecuariapastagem_numeroanimais17*c_sistmanejdej17*(_xlfn.DAYS(pecuariapastagem_datasaidaanimais17,pecuariapastagem_dataentradaanimais17)/365)),0,pecuariapastagem_numeroanimais17*c_sistmanejdej17*(_xlfn.DAYS(pecuariapastagem_datasaidaanimais17,pecuariapastagem_dataentradaanimais1)/365))+
IF(ISERROR(pecuariapastagem_numeroanimais18*c_sistmanejdej18*(_xlfn.DAYS(pecuariapastagem_datasaidaanimais18,pecuariapastagem_dataentradaanimais18)/365)),0,pecuariapastagem_numeroanimais18*c_sistmanejdej18*(_xlfn.DAYS(pecuariapastagem_datasaidaanimais18,pecuariapastagem_dataentradaanimais1)/365))+
IF(ISERROR(pecuariapastagem_numeroanimais19*c_sistmanejdej19*(_xlfn.DAYS(pecuariapastagem_datasaidaanimais19,pecuariapastagem_dataentradaanimais19)/365)),0,pecuariapastagem_numeroanimais19*c_sistmanejdej19*(_xlfn.DAYS(pecuariapastagem_datasaidaanimais19,pecuariapastagem_dataentradaanimais1)/365))+
IF(ISERROR(pecuariapastagem_numeroanimais20*c_sistmanejdej20*(_xlfn.DAYS(pecuariapastagem_datasaidaanimais20,pecuariapastagem_dataentradaanimais20)/365)),0,pecuariapastagem_numeroanimais20*c_sistmanejdej20*(_xlfn.DAYS(pecuariapastagem_datasaidaanimais20,pecuariapastagem_dataentradaanimais1)/365))</f>
        <v>0</v>
      </c>
      <c r="H308" s="123"/>
      <c r="I308" s="121">
        <f t="shared" si="16"/>
        <v>0</v>
      </c>
      <c r="J308" s="139"/>
    </row>
    <row r="309" spans="2:10" hidden="1" outlineLevel="1">
      <c r="B309" s="374"/>
      <c r="C309" s="377"/>
      <c r="D309" s="128" t="s">
        <v>451</v>
      </c>
      <c r="E309" s="120" t="s">
        <v>225</v>
      </c>
      <c r="F309" s="126"/>
      <c r="G309" s="125"/>
      <c r="H309" s="127">
        <f>IF(ISERROR(pecuariapastagem_numeroanimais1*c_manejdejanim1*(_xlfn.DAYS(pecuariapastagem_datasaidaanimais1,pecuariapastagem_dataentradaanimais1)/365)),0,pecuariapastagem_numeroanimais1*c_manejdejanim1*(_xlfn.DAYS(pecuariapastagem_datasaidaanimais1,pecuariapastagem_dataentradaanimais1)/365))+
IF(ISERROR(pecuariapastagem_numeroanimais2*c_manejdejanim2*(_xlfn.DAYS(pecuariapastagem_datasaidaanimais2,pecuariapastagem_dataentradaanimais2)/365)),0,pecuariapastagem_numeroanimais2*c_manejdejanim2*(_xlfn.DAYS(pecuariapastagem_datasaidaanimais2,pecuariapastagem_dataentradaanimais1)/365))+
IF(ISERROR(pecuariapastagem_numeroanimais3*c_manejdejanim3*(_xlfn.DAYS(pecuariapastagem_datasaidaanimais3,pecuariapastagem_dataentradaanimais3)/365)),0,pecuariapastagem_numeroanimais3*c_manejdejanim3*(_xlfn.DAYS(pecuariapastagem_datasaidaanimais3,pecuariapastagem_dataentradaanimais1)/365))+
IF(ISERROR(pecuariapastagem_numeroanimais4*c_manejdejanim4*(_xlfn.DAYS(pecuariapastagem_datasaidaanimais4,pecuariapastagem_dataentradaanimais4)/365)),0,pecuariapastagem_numeroanimais4*c_manejdejanim4*(_xlfn.DAYS(pecuariapastagem_datasaidaanimais4,pecuariapastagem_dataentradaanimais1)/365))+
IF(ISERROR(pecuariapastagem_numeroanimais5*c_manejdejanim5*(_xlfn.DAYS(pecuariapastagem_datasaidaanimais5,pecuariapastagem_dataentradaanimais5)/365)),0,pecuariapastagem_numeroanimais5*c_manejdejanim5*(_xlfn.DAYS(pecuariapastagem_datasaidaanimais5,pecuariapastagem_dataentradaanimais1)/365))+
IF(ISERROR(pecuariapastagem_numeroanimais6*c_manejdejanim6*(_xlfn.DAYS(pecuariapastagem_datasaidaanimais6,pecuariapastagem_dataentradaanimais6)/365)),0,pecuariapastagem_numeroanimais6*c_manejdejanim6*(_xlfn.DAYS(pecuariapastagem_datasaidaanimais6,pecuariapastagem_dataentradaanimais1)/365))+
IF(ISERROR(pecuariapastagem_numeroanimais7*c_manejdejanim7*(_xlfn.DAYS(pecuariapastagem_datasaidaanimais7,pecuariapastagem_dataentradaanimais7)/365)),0,pecuariapastagem_numeroanimais7*c_manejdejanim7*(_xlfn.DAYS(pecuariapastagem_datasaidaanimais7,pecuariapastagem_dataentradaanimais1)/365))+
IF(ISERROR(pecuariapastagem_numeroanimais8*c_manejdejanim8*(_xlfn.DAYS(pecuariapastagem_datasaidaanimais8,pecuariapastagem_dataentradaanimais8)/365)),0,pecuariapastagem_numeroanimais8*c_manejdejanim8*(_xlfn.DAYS(pecuariapastagem_datasaidaanimais8,pecuariapastagem_dataentradaanimais1)/365))+
IF(ISERROR(pecuariapastagem_numeroanimais9*c_manejdejanim9*(_xlfn.DAYS(pecuariapastagem_datasaidaanimais9,pecuariapastagem_dataentradaanimais9)/365)),0,pecuariapastagem_numeroanimais9*c_manejdejanim9*(_xlfn.DAYS(pecuariapastagem_datasaidaanimais9,pecuariapastagem_dataentradaanimais1)/365))+
IF(ISERROR(pecuariapastagem_numeroanimais10*c_manejdejanim10*(_xlfn.DAYS(pecuariapastagem_datasaidaanimais10,pecuariapastagem_dataentradaanimais10)/365)),0,pecuariapastagem_numeroanimais10*c_manejdejanim10*(_xlfn.DAYS(pecuariapastagem_datasaidaanimais10,pecuariapastagem_dataentradaanimais1)/365))+
IF(ISERROR(pecuariapastagem_numeroanimais11*c_manejdejanim11*(_xlfn.DAYS(pecuariapastagem_datasaidaanimais11,pecuariapastagem_dataentradaanimais11)/365)),0,pecuariapastagem_numeroanimais11*c_manejdejanim11*(_xlfn.DAYS(pecuariapastagem_datasaidaanimais11,pecuariapastagem_dataentradaanimais1)/365))+
IF(ISERROR(pecuariapastagem_numeroanimais12*c_manejdejanim12*(_xlfn.DAYS(pecuariapastagem_datasaidaanimais12,pecuariapastagem_dataentradaanimais12)/365)),0,pecuariapastagem_numeroanimais12*c_manejdejanim12*(_xlfn.DAYS(pecuariapastagem_datasaidaanimais12,pecuariapastagem_dataentradaanimais1)/365))+
IF(ISERROR(pecuariapastagem_numeroanimais13*c_manejdejanim13*(_xlfn.DAYS(pecuariapastagem_datasaidaanimais13,pecuariapastagem_dataentradaanimais13)/365)),0,pecuariapastagem_numeroanimais13*c_manejdejanim13*(_xlfn.DAYS(pecuariapastagem_datasaidaanimais13,pecuariapastagem_dataentradaanimais1)/365))+
IF(ISERROR(pecuariapastagem_numeroanimais14*c_manejdejanim14*(_xlfn.DAYS(pecuariapastagem_datasaidaanimais14,pecuariapastagem_dataentradaanimais14)/365)),0,pecuariapastagem_numeroanimais14*c_manejdejanim14*(_xlfn.DAYS(pecuariapastagem_datasaidaanimais14,pecuariapastagem_dataentradaanimais1)/365))+
IF(ISERROR(pecuariapastagem_numeroanimais15*c_manejdejanim15*(_xlfn.DAYS(pecuariapastagem_datasaidaanimais15,pecuariapastagem_dataentradaanimais15)/365)),0,pecuariapastagem_numeroanimais15*c_manejdejanim15*(_xlfn.DAYS(pecuariapastagem_datasaidaanimais15,pecuariapastagem_dataentradaanimais1)/365))+
IF(ISERROR(pecuariapastagem_numeroanimais16*c_manejdejanim16*(_xlfn.DAYS(pecuariapastagem_datasaidaanimais16,pecuariapastagem_dataentradaanimais16)/365)),0,pecuariapastagem_numeroanimais16*c_manejdejanim16*(_xlfn.DAYS(pecuariapastagem_datasaidaanimais16,pecuariapastagem_dataentradaanimais1)/365))+
IF(ISERROR(pecuariapastagem_numeroanimais17*c_manejdejanim17*(_xlfn.DAYS(pecuariapastagem_datasaidaanimais17,pecuariapastagem_dataentradaanimais17)/365)),0,pecuariapastagem_numeroanimais17*c_manejdejanim17*(_xlfn.DAYS(pecuariapastagem_datasaidaanimais17,pecuariapastagem_dataentradaanimais1)/365))+
IF(ISERROR(pecuariapastagem_numeroanimais18*c_manejdejanim18*(_xlfn.DAYS(pecuariapastagem_datasaidaanimais18,pecuariapastagem_dataentradaanimais18)/365)),0,pecuariapastagem_numeroanimais18*c_manejdejanim18*(_xlfn.DAYS(pecuariapastagem_datasaidaanimais18,pecuariapastagem_dataentradaanimais1)/365))+
IF(ISERROR(pecuariapastagem_numeroanimais19*c_manejdejanim19*(_xlfn.DAYS(pecuariapastagem_datasaidaanimais19,pecuariapastagem_dataentradaanimais19)/365)),0,pecuariapastagem_numeroanimais19*c_manejdejanim19*(_xlfn.DAYS(pecuariapastagem_datasaidaanimais19,pecuariapastagem_dataentradaanimais1)/365))+
IF(ISERROR(pecuariapastagem_numeroanimais20*c_manejdejanim20*(_xlfn.DAYS(pecuariapastagem_datasaidaanimais20,pecuariapastagem_dataentradaanimais20)/365)),0,pecuariapastagem_numeroanimais20*c_manejdejanim20*(_xlfn.DAYS(pecuariapastagem_datasaidaanimais20,pecuariapastagem_dataentradaanimais1)/365))</f>
        <v>0</v>
      </c>
      <c r="I309" s="121">
        <f t="shared" si="16"/>
        <v>0</v>
      </c>
      <c r="J309" s="139"/>
    </row>
    <row r="310" spans="2:10" hidden="1" outlineLevel="1">
      <c r="B310" s="374"/>
      <c r="C310" s="378"/>
      <c r="D310" s="128" t="s">
        <v>452</v>
      </c>
      <c r="E310" s="120" t="s">
        <v>225</v>
      </c>
      <c r="F310" s="126"/>
      <c r="G310" s="125"/>
      <c r="H310" s="127">
        <f>IF(ISERROR(pecuariapastagem_numeroanimais1*c_fermententer1*(_xlfn.DAYS(pecuariapastagem_datasaidaanimais1,pecuariapastagem_dataentradaanimais1)/365)),0,pecuariapastagem_numeroanimais1*c_fermententer1*(_xlfn.DAYS(pecuariapastagem_datasaidaanimais1,pecuariapastagem_dataentradaanimais1)/365))+
IF(ISERROR(pecuariapastagem_numeroanimais2*c_fermententer2*(_xlfn.DAYS(pecuariapastagem_datasaidaanimais2,pecuariapastagem_dataentradaanimais2)/365)),0,pecuariapastagem_numeroanimais2*c_fermententer2*(_xlfn.DAYS(pecuariapastagem_datasaidaanimais2,pecuariapastagem_dataentradaanimais1)/365))+
IF(ISERROR(pecuariapastagem_numeroanimais3*c_fermententer3*(_xlfn.DAYS(pecuariapastagem_datasaidaanimais3,pecuariapastagem_dataentradaanimais3)/365)),0,pecuariapastagem_numeroanimais3*c_fermententer3*(_xlfn.DAYS(pecuariapastagem_datasaidaanimais3,pecuariapastagem_dataentradaanimais1)/365))+
IF(ISERROR(pecuariapastagem_numeroanimais4*c_fermententer4*(_xlfn.DAYS(pecuariapastagem_datasaidaanimais4,pecuariapastagem_dataentradaanimais4)/365)),0,pecuariapastagem_numeroanimais4*c_fermententer4*(_xlfn.DAYS(pecuariapastagem_datasaidaanimais4,pecuariapastagem_dataentradaanimais1)/365))+
IF(ISERROR(pecuariapastagem_numeroanimais5*c_fermententer5*(_xlfn.DAYS(pecuariapastagem_datasaidaanimais5,pecuariapastagem_dataentradaanimais5)/365)),0,pecuariapastagem_numeroanimais5*c_fermententer5*(_xlfn.DAYS(pecuariapastagem_datasaidaanimais5,pecuariapastagem_dataentradaanimais1)/365))+
IF(ISERROR(pecuariapastagem_numeroanimais6*c_fermententer6*(_xlfn.DAYS(pecuariapastagem_datasaidaanimais6,pecuariapastagem_dataentradaanimais6)/365)),0,pecuariapastagem_numeroanimais6*c_fermententer6*(_xlfn.DAYS(pecuariapastagem_datasaidaanimais6,pecuariapastagem_dataentradaanimais1)/365))+
IF(ISERROR(pecuariapastagem_numeroanimais7*c_fermententer7*(_xlfn.DAYS(pecuariapastagem_datasaidaanimais7,pecuariapastagem_dataentradaanimais7)/365)),0,pecuariapastagem_numeroanimais7*c_fermententer7*(_xlfn.DAYS(pecuariapastagem_datasaidaanimais7,pecuariapastagem_dataentradaanimais1)/365))+
IF(ISERROR(pecuariapastagem_numeroanimais8*c_fermententer8*(_xlfn.DAYS(pecuariapastagem_datasaidaanimais8,pecuariapastagem_dataentradaanimais8)/365)),0,pecuariapastagem_numeroanimais8*c_fermententer8*(_xlfn.DAYS(pecuariapastagem_datasaidaanimais8,pecuariapastagem_dataentradaanimais1)/365))+
IF(ISERROR(pecuariapastagem_numeroanimais9*c_fermententer9*(_xlfn.DAYS(pecuariapastagem_datasaidaanimais9,pecuariapastagem_dataentradaanimais9)/365)),0,pecuariapastagem_numeroanimais9*c_fermententer9*(_xlfn.DAYS(pecuariapastagem_datasaidaanimais9,pecuariapastagem_dataentradaanimais1)/365))+
IF(ISERROR(pecuariapastagem_numeroanimais10*c_fermententer10*(_xlfn.DAYS(pecuariapastagem_datasaidaanimais10,pecuariapastagem_dataentradaanimais10)/365)),0,pecuariapastagem_numeroanimais10*c_fermententer10*(_xlfn.DAYS(pecuariapastagem_datasaidaanimais10,pecuariapastagem_dataentradaanimais1)/365))+
IF(ISERROR(pecuariapastagem_numeroanimais11*c_fermententer11*(_xlfn.DAYS(pecuariapastagem_datasaidaanimais11,pecuariapastagem_dataentradaanimais11)/365)),0,pecuariapastagem_numeroanimais11*c_fermententer11*(_xlfn.DAYS(pecuariapastagem_datasaidaanimais11,pecuariapastagem_dataentradaanimais1)/365))+
IF(ISERROR(pecuariapastagem_numeroanimais12*c_fermententer12*(_xlfn.DAYS(pecuariapastagem_datasaidaanimais12,pecuariapastagem_dataentradaanimais12)/365)),0,pecuariapastagem_numeroanimais12*c_fermententer12*(_xlfn.DAYS(pecuariapastagem_datasaidaanimais12,pecuariapastagem_dataentradaanimais1)/365))+
IF(ISERROR(pecuariapastagem_numeroanimais13*c_fermententer13*(_xlfn.DAYS(pecuariapastagem_datasaidaanimais13,pecuariapastagem_dataentradaanimais13)/365)),0,pecuariapastagem_numeroanimais13*c_fermententer13*(_xlfn.DAYS(pecuariapastagem_datasaidaanimais13,pecuariapastagem_dataentradaanimais1)/365))+
IF(ISERROR(pecuariapastagem_numeroanimais14*c_fermententer14*(_xlfn.DAYS(pecuariapastagem_datasaidaanimais14,pecuariapastagem_dataentradaanimais14)/365)),0,pecuariapastagem_numeroanimais14*c_fermententer14*(_xlfn.DAYS(pecuariapastagem_datasaidaanimais14,pecuariapastagem_dataentradaanimais1)/365))+
IF(ISERROR(pecuariapastagem_numeroanimais15*c_fermententer15*(_xlfn.DAYS(pecuariapastagem_datasaidaanimais15,pecuariapastagem_dataentradaanimais15)/365)),0,pecuariapastagem_numeroanimais15*c_fermententer15*(_xlfn.DAYS(pecuariapastagem_datasaidaanimais15,pecuariapastagem_dataentradaanimais1)/365))+
IF(ISERROR(pecuariapastagem_numeroanimais16*c_fermententer16*(_xlfn.DAYS(pecuariapastagem_datasaidaanimais16,pecuariapastagem_dataentradaanimais16)/365)),0,pecuariapastagem_numeroanimais16*c_fermententer16*(_xlfn.DAYS(pecuariapastagem_datasaidaanimais16,pecuariapastagem_dataentradaanimais1)/365))+
IF(ISERROR(pecuariapastagem_numeroanimais17*c_fermententer17*(_xlfn.DAYS(pecuariapastagem_datasaidaanimais17,pecuariapastagem_dataentradaanimais17)/365)),0,pecuariapastagem_numeroanimais17*c_fermententer17*(_xlfn.DAYS(pecuariapastagem_datasaidaanimais17,pecuariapastagem_dataentradaanimais1)/365))+
IF(ISERROR(pecuariapastagem_numeroanimais18*c_fermententer18*(_xlfn.DAYS(pecuariapastagem_datasaidaanimais18,pecuariapastagem_dataentradaanimais18)/365)),0,pecuariapastagem_numeroanimais18*c_fermententer18*(_xlfn.DAYS(pecuariapastagem_datasaidaanimais18,pecuariapastagem_dataentradaanimais1)/365))+
IF(ISERROR(pecuariapastagem_numeroanimais19*c_fermententer19*(_xlfn.DAYS(pecuariapastagem_datasaidaanimais19,pecuariapastagem_dataentradaanimais19)/365)),0,pecuariapastagem_numeroanimais19*c_fermententer19*(_xlfn.DAYS(pecuariapastagem_datasaidaanimais19,pecuariapastagem_dataentradaanimais1)/365))+
IF(ISERROR(pecuariapastagem_numeroanimais20*c_fermententer20*(_xlfn.DAYS(pecuariapastagem_datasaidaanimais20,pecuariapastagem_dataentradaanimais20)/365)),0,pecuariapastagem_numeroanimais20*c_fermententer20*(_xlfn.DAYS(pecuariapastagem_datasaidaanimais20,pecuariapastagem_dataentradaanimais1)/365))</f>
        <v>0</v>
      </c>
      <c r="I310" s="121">
        <f t="shared" si="16"/>
        <v>0</v>
      </c>
      <c r="J310" s="139"/>
    </row>
    <row r="311" spans="2:10" hidden="1" outlineLevel="1">
      <c r="B311" s="375"/>
      <c r="C311" s="129" t="s">
        <v>106</v>
      </c>
      <c r="D311" s="119" t="s">
        <v>93</v>
      </c>
      <c r="E311" s="120" t="s">
        <v>225</v>
      </c>
      <c r="F311" s="121">
        <f>IF(ISERROR(IF(pecuariapastagem_tipoconsumocombustivel="Quantidade consumida",(pecuariapastagem_consumodiesel*(mistura_diesel_pastagempecuaria/100))*c_mecanizacao_co2,IF(pecuariapastagem_tipoconsumocombustivel="Operações mecanizadas",SUM(IF(pecuariapastagem_operacaomecanizada_calagem="Sim",c_horamaquina_pecuariapastagem_calagem*pecuariapastagem_operacaomecanizada_calagem_repeticoes,0),IF(pecuariapastagem_operacaomecanizada_aplicacaofungicida="Sim",c_horamaquina_pecuariapastagem_aplicacaofungicida*pecuariapastagem_operacaomecanizada_aplicacaofungicida_repeticoes,0),IF(pecuariapastagem_operacaomecanizada_dessecacaopreemergente="Sim",c_horamaquina_pecuariapastagem_dessecacaopreemergente*pecuariapastagem_operacaomecanizada_dessecacaopreemergente_repeticoes,0),IF(pecuariapastagem_operacaomecanizada_aplicacaoherbicidaposemergente="Sim",c_horamaquina_pecuariapastagem_aplicacaoherbicidaposemergente*pecuariapastagem_operacaomecanizada_aplicacaoherbicidaposemergente_repeticoes,0),IF(pecuariapastagem_operacaomecanizada_aplicacaoinseticida="Sim",c_horamaquina_pecuariapastagem_aplicacaoinseticida*pecuariapastagem_operacaomecanizada_aplicacaoinseticida_repeticoes,0),IF(pecuariapastagem_operacaomecanizada_limpezaarearocadeira="Sim",c_horamaquina_pecuariapastagem_limpezaarea*pecuariapastagem_operacaomecanizada_limpezaarearocadeira_repeticoes,0),IF(pecuariapastagem_operacaomecanizada_plantioadubacao="Sim",c_horamaquina_pecuariapastagem_plantiocomadubacao*pecuariapastagem_operacaomecanizada_plantioadubacao_repeticoes,0))*c_mecanizacao_co2*20*(mistura_diesel_pastagempecuaria/100)*pecuariapastagem_areacultivada,0))),"-",IF(pecuariapastagem_tipoconsumocombustivel="Quantidade consumida",(pecuariapastagem_consumodiesel*(mistura_diesel_pastagempecuaria/100))*c_mecanizacao_co2,IF(pecuariapastagem_tipoconsumocombustivel="Operações mecanizadas",SUM(IF(pecuariapastagem_operacaomecanizada_calagem="Sim",c_horamaquina_pecuariapastagem_calagem*pecuariapastagem_operacaomecanizada_calagem_repeticoes,0),IF(pecuariapastagem_operacaomecanizada_aplicacaofungicida="Sim",c_horamaquina_pecuariapastagem_aplicacaofungicida*pecuariapastagem_operacaomecanizada_aplicacaofungicida_repeticoes,0),IF(pecuariapastagem_operacaomecanizada_dessecacaopreemergente="Sim",c_horamaquina_pecuariapastagem_dessecacaopreemergente*pecuariapastagem_operacaomecanizada_dessecacaopreemergente_repeticoes,0),IF(pecuariapastagem_operacaomecanizada_aplicacaoherbicidaposemergente="Sim",c_horamaquina_pecuariapastagem_aplicacaoherbicidaposemergente*pecuariapastagem_operacaomecanizada_aplicacaoherbicidaposemergente_repeticoes,0),IF(pecuariapastagem_operacaomecanizada_aplicacaoinseticida="Sim",c_horamaquina_pecuariapastagem_aplicacaoinseticida*pecuariapastagem_operacaomecanizada_aplicacaoinseticida_repeticoes,0),IF(pecuariapastagem_operacaomecanizada_limpezaarearocadeira="Sim",c_horamaquina_pecuariapastagem_limpezaarea*pecuariapastagem_operacaomecanizada_limpezaarearocadeira_repeticoes,0),IF(pecuariapastagem_operacaomecanizada_plantioadubacao="Sim",c_horamaquina_pecuariapastagem_plantiocomadubacao*pecuariapastagem_operacaomecanizada_plantioadubacao_repeticoes,0))*c_mecanizacao_co2*20*(mistura_diesel_pastagempecuaria/100)*pecuariapastagem_areacultivada,0)))</f>
        <v>0</v>
      </c>
      <c r="G311" s="122">
        <f>IF(ISERROR(IF(pecuariapastagem_tipoconsumocombustivel="Quantidade consumida",(pecuariapastagem_consumodiesel*(mistura_diesel_pastagempecuaria/100))*c_mecanizacao_n2o,IF(pecuariapastagem_tipoconsumocombustivel="Operações mecanizadas",SUM(IF(pecuariapastagem_operacaomecanizada_calagem="Sim",c_horamaquina_pecuariapastagem_calagem*pecuariapastagem_operacaomecanizada_calagem_repeticoes,0),IF(pecuariapastagem_operacaomecanizada_aplicacaofungicida="Sim",c_horamaquina_pecuariapastagem_aplicacaofungicida*pecuariapastagem_operacaomecanizada_aplicacaofungicida_repeticoes,0),IF(pecuariapastagem_operacaomecanizada_dessecacaopreemergente="Sim",c_horamaquina_pecuariapastagem_dessecacaopreemergente*pecuariapastagem_operacaomecanizada_dessecacaopreemergente_repeticoes,0),IF(pecuariapastagem_operacaomecanizada_aplicacaoherbicidaposemergente="Sim",c_horamaquina_pecuariapastagem_aplicacaoherbicidaposemergente*pecuariapastagem_operacaomecanizada_aplicacaoherbicidaposemergente_repeticoes,0),IF(pecuariapastagem_operacaomecanizada_aplicacaoinseticida="Sim",c_horamaquina_pecuariapastagem_aplicacaoinseticida*pecuariapastagem_operacaomecanizada_aplicacaoinseticida_repeticoes,0),IF(pecuariapastagem_operacaomecanizada_limpezaarearocadeira="Sim",c_horamaquina_pecuariapastagem_limpezaarea*pecuariapastagem_operacaomecanizada_limpezaarearocadeira_repeticoes,0),IF(pecuariapastagem_operacaomecanizada_plantioadubacao="Sim",c_horamaquina_pecuariapastagem_plantiocomadubacao*pecuariapastagem_operacaomecanizada_plantioadubacao_repeticoes,0))*c_mecanizacao_n2o*20*(mistura_diesel_pastagempecuaria/100)*pecuariapastagem_areacultivada,0))),"-",IF(pecuariapastagem_tipoconsumocombustivel="Quantidade consumida",(pecuariapastagem_consumodiesel*(mistura_diesel_pastagempecuaria/100))*c_mecanizacao_n2o,IF(pecuariapastagem_tipoconsumocombustivel="Operações mecanizadas",SUM(IF(pecuariapastagem_operacaomecanizada_calagem="Sim",c_horamaquina_pecuariapastagem_calagem*pecuariapastagem_operacaomecanizada_calagem_repeticoes,0),IF(pecuariapastagem_operacaomecanizada_aplicacaofungicida="Sim",c_horamaquina_pecuariapastagem_aplicacaofungicida*pecuariapastagem_operacaomecanizada_aplicacaofungicida_repeticoes,0),IF(pecuariapastagem_operacaomecanizada_dessecacaopreemergente="Sim",c_horamaquina_pecuariapastagem_dessecacaopreemergente*pecuariapastagem_operacaomecanizada_dessecacaopreemergente_repeticoes,0),IF(pecuariapastagem_operacaomecanizada_aplicacaoherbicidaposemergente="Sim",c_horamaquina_pecuariapastagem_aplicacaoherbicidaposemergente*pecuariapastagem_operacaomecanizada_aplicacaoherbicidaposemergente_repeticoes,0),IF(pecuariapastagem_operacaomecanizada_aplicacaoinseticida="Sim",c_horamaquina_pecuariapastagem_aplicacaoinseticida*pecuariapastagem_operacaomecanizada_aplicacaoinseticida_repeticoes,0),IF(pecuariapastagem_operacaomecanizada_limpezaarearocadeira="Sim",c_horamaquina_pecuariapastagem_limpezaarea*pecuariapastagem_operacaomecanizada_limpezaarearocadeira_repeticoes,0),IF(pecuariapastagem_operacaomecanizada_plantioadubacao="Sim",c_horamaquina_pecuariapastagem_plantiocomadubacao*pecuariapastagem_operacaomecanizada_plantioadubacao_repeticoes,0))*c_mecanizacao_n2o*20*(mistura_diesel_pastagempecuaria/100)*pecuariapastagem_areacultivada,0)))</f>
        <v>0</v>
      </c>
      <c r="H311" s="127">
        <f>IF(ISERROR(IF(pecuariapastagem_tipoconsumocombustivel="Quantidade consumida",(pecuariapastagem_consumodiesel*(mistura_diesel_pastagempecuaria/100))*c_mecanizacao_ch4,IF(pecuariapastagem_tipoconsumocombustivel="Operações mecanizadas",SUM(IF(pecuariapastagem_operacaomecanizada_calagem="Sim",c_horamaquina_pecuariapastagem_calagem*pecuariapastagem_operacaomecanizada_calagem_repeticoes,0),IF(pecuariapastagem_operacaomecanizada_aplicacaofungicida="Sim",c_horamaquina_pecuariapastagem_aplicacaofungicida*pecuariapastagem_operacaomecanizada_aplicacaofungicida_repeticoes,0),IF(pecuariapastagem_operacaomecanizada_dessecacaopreemergente="Sim",c_horamaquina_pecuariapastagem_dessecacaopreemergente*pecuariapastagem_operacaomecanizada_dessecacaopreemergente_repeticoes,0),IF(pecuariapastagem_operacaomecanizada_aplicacaoherbicidaposemergente="Sim",c_horamaquina_pecuariapastagem_aplicacaoherbicidaposemergente*pecuariapastagem_operacaomecanizada_aplicacaoherbicidaposemergente_repeticoes,0),IF(pecuariapastagem_operacaomecanizada_aplicacaoinseticida="Sim",c_horamaquina_pecuariapastagem_aplicacaoinseticida*pecuariapastagem_operacaomecanizada_aplicacaoinseticida_repeticoes,0),IF(pecuariapastagem_operacaomecanizada_limpezaarearocadeira="Sim",c_horamaquina_pecuariapastagem_limpezaarea*pecuariapastagem_operacaomecanizada_limpezaarearocadeira_repeticoes,0),IF(pecuariapastagem_operacaomecanizada_plantioadubacao="Sim",c_horamaquina_pecuariapastagem_plantiocomadubacao*pecuariapastagem_operacaomecanizada_plantioadubacao_repeticoes,0))*c_mecanizacao_ch4*20*(mistura_diesel_pastagempecuaria/100)*pecuariapastagem_areacultivada,0))),"-",IF(pecuariapastagem_tipoconsumocombustivel="Quantidade consumida",(pecuariapastagem_consumodiesel*(mistura_diesel_pastagempecuaria/100))*c_mecanizacao_ch4,IF(pecuariapastagem_tipoconsumocombustivel="Operações mecanizadas",SUM(IF(pecuariapastagem_operacaomecanizada_calagem="Sim",c_horamaquina_pecuariapastagem_calagem*pecuariapastagem_operacaomecanizada_calagem_repeticoes,0),IF(pecuariapastagem_operacaomecanizada_aplicacaofungicida="Sim",c_horamaquina_pecuariapastagem_aplicacaofungicida*pecuariapastagem_operacaomecanizada_aplicacaofungicida_repeticoes,0),IF(pecuariapastagem_operacaomecanizada_dessecacaopreemergente="Sim",c_horamaquina_pecuariapastagem_dessecacaopreemergente*pecuariapastagem_operacaomecanizada_dessecacaopreemergente_repeticoes,0),IF(pecuariapastagem_operacaomecanizada_aplicacaoherbicidaposemergente="Sim",c_horamaquina_pecuariapastagem_aplicacaoherbicidaposemergente*pecuariapastagem_operacaomecanizada_aplicacaoherbicidaposemergente_repeticoes,0),IF(pecuariapastagem_operacaomecanizada_aplicacaoinseticida="Sim",c_horamaquina_pecuariapastagem_aplicacaoinseticida*pecuariapastagem_operacaomecanizada_aplicacaoinseticida_repeticoes,0),IF(pecuariapastagem_operacaomecanizada_limpezaarearocadeira="Sim",c_horamaquina_pecuariapastagem_limpezaarea*pecuariapastagem_operacaomecanizada_limpezaarearocadeira_repeticoes,0),IF(pecuariapastagem_operacaomecanizada_plantioadubacao="Sim",c_horamaquina_pecuariapastagem_plantiocomadubacao*pecuariapastagem_operacaomecanizada_plantioadubacao_repeticoes,0))*c_mecanizacao_ch4*20*(mistura_diesel_pastagempecuaria/100)*pecuariapastagem_areacultivada,0)))</f>
        <v>0</v>
      </c>
      <c r="I311" s="121">
        <f t="shared" si="16"/>
        <v>0</v>
      </c>
      <c r="J311" s="139"/>
    </row>
    <row r="312" spans="2:10" hidden="1" outlineLevel="1">
      <c r="B312" s="130" t="s">
        <v>151</v>
      </c>
      <c r="C312" s="130" t="s">
        <v>213</v>
      </c>
      <c r="D312" s="130" t="s">
        <v>99</v>
      </c>
      <c r="E312" s="131" t="s">
        <v>225</v>
      </c>
      <c r="F312" s="132">
        <f>IF(ISERROR((c_emissaoexterna_fungicida*pecuariapastagem_aplicacaofungicida)+(c_emissaoexterna_herbicida*pecuariapastagem_aplicacaoherbicida)+(c_emissaoexterna_inseticida*pecuariapastagem_aplicacaoinseticida)),"-",(c_emissaoexterna_fungicida*pecuariapastagem_aplicacaofungicida)+(c_emissaoexterna_herbicida*pecuariapastagem_aplicacaoherbicida)+(c_emissaoexterna_inseticida*pecuariapastagem_aplicacaoinseticida))</f>
        <v>0</v>
      </c>
      <c r="G312" s="133"/>
      <c r="H312" s="134"/>
      <c r="I312" s="132">
        <f t="shared" si="16"/>
        <v>0</v>
      </c>
      <c r="J312" s="139"/>
    </row>
    <row r="313" spans="2:10" hidden="1" outlineLevel="1">
      <c r="B313" s="380" t="s">
        <v>260</v>
      </c>
      <c r="C313" s="381"/>
      <c r="D313" s="135" t="s">
        <v>51</v>
      </c>
      <c r="E313" s="136" t="s">
        <v>225</v>
      </c>
      <c r="F313" s="137">
        <f>IF(ISERROR(IF(pecuariapastagem_temponasituacao="Menor ou igual a 20 anos",pecuariapastagem_areacultivada*(c_mudancausosolo_pecuariapastagem*-1),0)),"-",IF(pecuariapastagem_temponasituacao="Menor ou igual a 20 anos",pecuariapastagem_areacultivada*(c_mudancausosolo_pecuariapastagem*-1),0))</f>
        <v>0</v>
      </c>
      <c r="G313" s="138"/>
      <c r="H313" s="139"/>
      <c r="I313" s="140">
        <f>IF(ISERROR(IF(F313&gt;=0,F313,0)+IF(G313*pag_n2o&gt;=0,G313*pag_n2o,0)+IF(H313*pag_ch4&gt;=0,H313*pag_ch4,0)),"-",IF(F313&gt;=0,F313,0)+IF(G313*pag_n2o&gt;=0,G313*pag_n2o,0)+IF(H313*pag_ch4&gt;=0,H313*pag_ch4,0))</f>
        <v>0</v>
      </c>
      <c r="J313" s="141">
        <f>IF(ISERROR(IF(F313&lt;0,F313*-1,0)+IF(G313*pag_n2o&lt;0,G313*pag_n2o*-1,0)+IF(H313*pag_ch4&lt;0,H313*pag_ch4*-1,0)),"-",IF(F313&lt;0,F313*-1,0)+IF(G313*pag_n2o&lt;0,G313*pag_n2o*-1,0)+IF(H313*pag_ch4&lt;0,H313*pag_ch4*-1,0))</f>
        <v>0</v>
      </c>
    </row>
    <row r="314" spans="2:10" ht="13.5" hidden="1" outlineLevel="1" thickBot="1">
      <c r="B314" s="382"/>
      <c r="C314" s="383"/>
      <c r="D314" s="135" t="s">
        <v>440</v>
      </c>
      <c r="E314" s="142" t="s">
        <v>225</v>
      </c>
      <c r="F314" s="143">
        <f>IF(ISERROR(IF(pecuariapastagem_tipoconsumocombustivel="Quantidade consumida",(pecuariapastagem_consumodiesel*(1-(mistura_diesel_pastagempecuaria/100)))*c_emissao_biodiesel,IF(pecuariapastagem_tipoconsumocombustivel="Operações mecanizadas",SUM(IF(pecuariapastagem_operacaomecanizada_calagem="Sim",c_horamaquina_pecuariapastagem_calagem*pecuariapastagem_operacaomecanizada_calagem_repeticoes,0),IF(pecuariapastagem_operacaomecanizada_aplicacaofungicida="Sim",c_horamaquina_pecuariapastagem_aplicacaofungicida*pecuariapastagem_operacaomecanizada_aplicacaofungicida_repeticoes,0),IF(pecuariapastagem_operacaomecanizada_dessecacaopreemergente="Sim",c_horamaquina_pecuariapastagem_dessecacaopreemergente*pecuariapastagem_operacaomecanizada_dessecacaopreemergente_repeticoes,0),IF(pecuariapastagem_operacaomecanizada_aplicacaoherbicidaposemergente="Sim",c_horamaquina_pecuariapastagem_aplicacaoherbicidaposemergente*pecuariapastagem_operacaomecanizada_aplicacaoherbicidaposemergente_repeticoes,0),IF(pecuariapastagem_operacaomecanizada_aplicacaoinseticida="Sim",c_horamaquina_pecuariapastagem_aplicacaoinseticida*pecuariapastagem_operacaomecanizada_aplicacaoinseticida_repeticoes,0),IF(pecuariapastagem_operacaomecanizada_limpezaarearocadeira="Sim",c_horamaquina_pecuariapastagem_limpezaarea*pecuariapastagem_operacaomecanizada_limpezaarearocadeira_repeticoes,0),IF(pecuariapastagem_operacaomecanizada_plantioadubacao="Sim",c_horamaquina_pecuariapastagem_plantiocomadubacao*pecuariapastagem_operacaomecanizada_plantioadubacao_repeticoes,0))*c_emissao_biodiesel*20*(1-(mistura_diesel_pastagempecuaria/100))*pecuariapastagem_areacultivada,0))),"-",IF(pecuariapastagem_tipoconsumocombustivel="Quantidade consumida",(pecuariapastagem_consumodiesel*(1-(mistura_diesel_pastagempecuaria/100)))*c_emissao_biodiesel,IF(pecuariapastagem_tipoconsumocombustivel="Operações mecanizadas",SUM(IF(pecuariapastagem_operacaomecanizada_calagem="Sim",c_horamaquina_pecuariapastagem_calagem*pecuariapastagem_operacaomecanizada_calagem_repeticoes,0),IF(pecuariapastagem_operacaomecanizada_aplicacaofungicida="Sim",c_horamaquina_pecuariapastagem_aplicacaofungicida*pecuariapastagem_operacaomecanizada_aplicacaofungicida_repeticoes,0),IF(pecuariapastagem_operacaomecanizada_dessecacaopreemergente="Sim",c_horamaquina_pecuariapastagem_dessecacaopreemergente*pecuariapastagem_operacaomecanizada_dessecacaopreemergente_repeticoes,0),IF(pecuariapastagem_operacaomecanizada_aplicacaoherbicidaposemergente="Sim",c_horamaquina_pecuariapastagem_aplicacaoherbicidaposemergente*pecuariapastagem_operacaomecanizada_aplicacaoherbicidaposemergente_repeticoes,0),IF(pecuariapastagem_operacaomecanizada_aplicacaoinseticida="Sim",c_horamaquina_pecuariapastagem_aplicacaoinseticida*pecuariapastagem_operacaomecanizada_aplicacaoinseticida_repeticoes,0),IF(pecuariapastagem_operacaomecanizada_limpezaarearocadeira="Sim",c_horamaquina_pecuariapastagem_limpezaarea*pecuariapastagem_operacaomecanizada_limpezaarearocadeira_repeticoes,0),IF(pecuariapastagem_operacaomecanizada_plantioadubacao="Sim",c_horamaquina_pecuariapastagem_plantiocomadubacao*pecuariapastagem_operacaomecanizada_plantioadubacao_repeticoes,0))*c_emissao_biodiesel*20*(1-(mistura_diesel_pastagempecuaria/100))*pecuariapastagem_areacultivada,0)))</f>
        <v>0</v>
      </c>
      <c r="G314" s="144"/>
      <c r="H314" s="145"/>
      <c r="I314" s="146">
        <f>IF(ISERROR(IF(F314&gt;=0,F314,0)+IF(G314*pag_n2o&gt;=0,G314*pag_n2o,0)+IF(H314*pag_ch4&gt;=0,H314*pag_ch4,0)),"-",IF(F314&gt;=0,F314,0)+IF(G314*pag_n2o&gt;=0,G314*pag_n2o,0)+IF(H314*pag_ch4&gt;=0,H314*pag_ch4,0))</f>
        <v>0</v>
      </c>
      <c r="J314" s="145"/>
    </row>
    <row r="315" spans="2:10" hidden="1" outlineLevel="1">
      <c r="B315" s="148"/>
      <c r="C315" s="149"/>
      <c r="D315" s="149"/>
      <c r="E315" s="150" t="s">
        <v>438</v>
      </c>
      <c r="F315" s="151">
        <f>IF(ISERROR(SUMIF(F301:F314,"&gt;=0")),"-",SUMIF(F301:F314,"&gt;=0"))</f>
        <v>0</v>
      </c>
      <c r="G315" s="152">
        <f>IF(ISERROR(SUMIF(G301:G314,"&gt;=0")),"-",SUMIF(G301:G314,"&gt;=0"))</f>
        <v>0</v>
      </c>
      <c r="H315" s="153">
        <f>IF(ISERROR(SUMIF(H301:H314,"&gt;=0")),"-",SUMIF(H301:H314,"&gt;=0"))</f>
        <v>0</v>
      </c>
      <c r="I315" s="151">
        <f>IF(ISERROR(SUMIF(I301:I314,"&gt;=0")),"-",SUMIF(I301:I314,"&gt;=0"))</f>
        <v>0</v>
      </c>
      <c r="J315" s="154">
        <f>IF(ISERROR(SUMIF(J301:J314,"&gt;=0")),"-",SUMIF(J301:J314,"&gt;=0"))</f>
        <v>0</v>
      </c>
    </row>
    <row r="316" spans="2:10" ht="15.75" hidden="1" outlineLevel="1">
      <c r="B316" s="155"/>
      <c r="C316" s="156"/>
      <c r="D316" s="156"/>
      <c r="E316" s="157" t="s">
        <v>455</v>
      </c>
      <c r="F316" s="158">
        <f>IF(ISERROR(F315),"-",F315)</f>
        <v>0</v>
      </c>
      <c r="G316" s="159">
        <f>IF(ISERROR(G315*pag_n2o),"-",G315*pag_n2o)</f>
        <v>0</v>
      </c>
      <c r="H316" s="160">
        <f>IF(ISERROR(H315*pag_ch4),"-",H315*pag_ch4)</f>
        <v>0</v>
      </c>
      <c r="I316" s="187"/>
      <c r="J316" s="124"/>
    </row>
    <row r="317" spans="2:10" ht="13.5" hidden="1" outlineLevel="1" thickBot="1">
      <c r="B317" s="163"/>
      <c r="C317" s="164"/>
      <c r="D317" s="164"/>
      <c r="E317" s="165" t="s">
        <v>443</v>
      </c>
      <c r="F317" s="166">
        <f>IF(ISERROR(SUMIF(F301:F314,"&lt;0")*-1),"-",SUMIF(F301:F314,"&lt;0")*-1)</f>
        <v>0</v>
      </c>
      <c r="G317" s="167"/>
      <c r="H317" s="168"/>
      <c r="I317" s="191"/>
      <c r="J317" s="168"/>
    </row>
    <row r="321" spans="1:1">
      <c r="A321" s="201" t="s">
        <v>429</v>
      </c>
    </row>
  </sheetData>
  <mergeCells count="101">
    <mergeCell ref="C266:C274"/>
    <mergeCell ref="B277:C278"/>
    <mergeCell ref="B242:C243"/>
    <mergeCell ref="B187:E187"/>
    <mergeCell ref="J196:J197"/>
    <mergeCell ref="B197:D197"/>
    <mergeCell ref="I229:I230"/>
    <mergeCell ref="J229:J230"/>
    <mergeCell ref="B230:D230"/>
    <mergeCell ref="B231:B240"/>
    <mergeCell ref="C231:C239"/>
    <mergeCell ref="B198:B205"/>
    <mergeCell ref="B207:C208"/>
    <mergeCell ref="I126:I127"/>
    <mergeCell ref="J126:J127"/>
    <mergeCell ref="B127:D127"/>
    <mergeCell ref="B110:D110"/>
    <mergeCell ref="B128:B137"/>
    <mergeCell ref="B93:B102"/>
    <mergeCell ref="C93:C101"/>
    <mergeCell ref="B255:E255"/>
    <mergeCell ref="B163:B172"/>
    <mergeCell ref="C163:C171"/>
    <mergeCell ref="B180:D180"/>
    <mergeCell ref="F161:H161"/>
    <mergeCell ref="C128:C136"/>
    <mergeCell ref="B139:C140"/>
    <mergeCell ref="B174:C175"/>
    <mergeCell ref="B152:E152"/>
    <mergeCell ref="B220:E220"/>
    <mergeCell ref="I161:I162"/>
    <mergeCell ref="J161:J162"/>
    <mergeCell ref="B162:D162"/>
    <mergeCell ref="B75:D75"/>
    <mergeCell ref="F56:H56"/>
    <mergeCell ref="B82:E82"/>
    <mergeCell ref="I56:I57"/>
    <mergeCell ref="J56:J57"/>
    <mergeCell ref="B57:D57"/>
    <mergeCell ref="I91:I92"/>
    <mergeCell ref="J91:J92"/>
    <mergeCell ref="B117:E117"/>
    <mergeCell ref="B301:B311"/>
    <mergeCell ref="B313:C314"/>
    <mergeCell ref="C301:C310"/>
    <mergeCell ref="B290:E290"/>
    <mergeCell ref="I299:I300"/>
    <mergeCell ref="F229:H229"/>
    <mergeCell ref="F196:H196"/>
    <mergeCell ref="J299:J300"/>
    <mergeCell ref="B300:D300"/>
    <mergeCell ref="I196:I197"/>
    <mergeCell ref="F299:H299"/>
    <mergeCell ref="B298:J298"/>
    <mergeCell ref="B253:J253"/>
    <mergeCell ref="B288:J288"/>
    <mergeCell ref="B228:J228"/>
    <mergeCell ref="B248:D248"/>
    <mergeCell ref="F264:H264"/>
    <mergeCell ref="B283:D283"/>
    <mergeCell ref="B263:J263"/>
    <mergeCell ref="C198:C204"/>
    <mergeCell ref="I264:I265"/>
    <mergeCell ref="J264:J265"/>
    <mergeCell ref="B265:D265"/>
    <mergeCell ref="B266:B275"/>
    <mergeCell ref="B39:C39"/>
    <mergeCell ref="B213:D213"/>
    <mergeCell ref="B125:J125"/>
    <mergeCell ref="B195:J195"/>
    <mergeCell ref="B150:J150"/>
    <mergeCell ref="B218:J218"/>
    <mergeCell ref="B185:J185"/>
    <mergeCell ref="B160:J160"/>
    <mergeCell ref="B55:J55"/>
    <mergeCell ref="B145:D145"/>
    <mergeCell ref="F126:H126"/>
    <mergeCell ref="B80:J80"/>
    <mergeCell ref="B115:J115"/>
    <mergeCell ref="B58:B67"/>
    <mergeCell ref="C58:C66"/>
    <mergeCell ref="B47:E47"/>
    <mergeCell ref="B41:C41"/>
    <mergeCell ref="B43:J43"/>
    <mergeCell ref="B45:J45"/>
    <mergeCell ref="B104:C105"/>
    <mergeCell ref="B92:D92"/>
    <mergeCell ref="F91:H91"/>
    <mergeCell ref="B90:J90"/>
    <mergeCell ref="B69:C70"/>
    <mergeCell ref="B14:J14"/>
    <mergeCell ref="B16:J16"/>
    <mergeCell ref="B25:J25"/>
    <mergeCell ref="B33:J33"/>
    <mergeCell ref="B37:J37"/>
    <mergeCell ref="B27:C27"/>
    <mergeCell ref="B29:C29"/>
    <mergeCell ref="B31:C31"/>
    <mergeCell ref="B35:C35"/>
    <mergeCell ref="C18:E18"/>
    <mergeCell ref="F18:I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FatoresEmissao">
    <tabColor theme="5"/>
    <outlinePr summaryBelow="0"/>
  </sheetPr>
  <dimension ref="A13:AG302"/>
  <sheetViews>
    <sheetView showGridLines="0" showRowColHeaders="0" zoomScaleNormal="100" workbookViewId="0"/>
  </sheetViews>
  <sheetFormatPr defaultColWidth="9.140625" defaultRowHeight="12.75"/>
  <cols>
    <col min="1" max="1" width="3.7109375" style="5" customWidth="1"/>
    <col min="2" max="2" width="40.28515625" style="5" bestFit="1" customWidth="1"/>
    <col min="3" max="3" width="34.7109375" style="5" bestFit="1" customWidth="1"/>
    <col min="4" max="4" width="19.7109375" style="5" bestFit="1" customWidth="1"/>
    <col min="5" max="5" width="34.42578125" style="5" bestFit="1" customWidth="1"/>
    <col min="6" max="6" width="28.85546875" style="5" bestFit="1" customWidth="1"/>
    <col min="7" max="7" width="28.28515625" style="5" bestFit="1" customWidth="1"/>
    <col min="8" max="8" width="31.85546875" style="5" bestFit="1" customWidth="1"/>
    <col min="9" max="9" width="23.28515625" style="5" bestFit="1" customWidth="1"/>
    <col min="10" max="10" width="42.42578125" style="5" bestFit="1" customWidth="1"/>
    <col min="11" max="11" width="9.140625" style="5" bestFit="1" customWidth="1"/>
    <col min="12" max="12" width="8.85546875" style="5" bestFit="1" customWidth="1"/>
    <col min="13" max="13" width="9.140625" style="5" bestFit="1" customWidth="1"/>
    <col min="14" max="14" width="23.7109375" style="5" bestFit="1" customWidth="1"/>
    <col min="15" max="15" width="11.28515625" style="5" bestFit="1" customWidth="1"/>
    <col min="16" max="16" width="23.7109375" style="5" bestFit="1" customWidth="1"/>
    <col min="17" max="17" width="11.28515625" style="5" bestFit="1" customWidth="1"/>
    <col min="18" max="18" width="9.140625" style="5"/>
    <col min="19" max="19" width="16.140625" style="5" bestFit="1" customWidth="1"/>
    <col min="20" max="20" width="20.5703125" style="5" bestFit="1" customWidth="1"/>
    <col min="21" max="21" width="40" style="5" bestFit="1" customWidth="1"/>
    <col min="22" max="22" width="20.5703125" style="5" bestFit="1" customWidth="1"/>
    <col min="23" max="16384" width="9.140625" style="5"/>
  </cols>
  <sheetData>
    <row r="13" spans="1:17">
      <c r="B13" s="233"/>
      <c r="D13" s="233"/>
      <c r="E13" s="233"/>
      <c r="F13" s="233"/>
    </row>
    <row r="15" spans="1:17">
      <c r="A15" s="234"/>
      <c r="B15" s="417" t="s">
        <v>287</v>
      </c>
      <c r="C15" s="417"/>
      <c r="D15" s="417"/>
      <c r="E15" s="417"/>
      <c r="F15" s="417"/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8"/>
    </row>
    <row r="17" spans="2:17">
      <c r="B17" s="423" t="s">
        <v>105</v>
      </c>
      <c r="C17" s="423"/>
      <c r="D17" s="423"/>
      <c r="E17" s="423"/>
      <c r="F17" s="423"/>
      <c r="G17" s="423"/>
      <c r="H17" s="423"/>
      <c r="I17" s="423"/>
      <c r="J17" s="423"/>
      <c r="K17" s="423"/>
      <c r="L17" s="423"/>
      <c r="M17" s="423"/>
      <c r="N17" s="423"/>
      <c r="O17" s="423"/>
      <c r="P17" s="423"/>
      <c r="Q17" s="423"/>
    </row>
    <row r="19" spans="2:17">
      <c r="B19" s="400" t="s">
        <v>436</v>
      </c>
      <c r="C19" s="400"/>
      <c r="D19" s="400"/>
      <c r="E19" s="400"/>
      <c r="F19" s="400"/>
      <c r="G19" s="400"/>
      <c r="H19" s="400"/>
      <c r="I19" s="400"/>
    </row>
    <row r="20" spans="2:17">
      <c r="B20" s="235"/>
      <c r="C20" s="236"/>
      <c r="D20" s="420" t="s">
        <v>287</v>
      </c>
      <c r="E20" s="421"/>
      <c r="F20" s="421"/>
      <c r="G20" s="421"/>
      <c r="H20" s="421"/>
      <c r="I20" s="422"/>
    </row>
    <row r="21" spans="2:17" ht="15.75">
      <c r="B21" s="237"/>
      <c r="C21" s="238"/>
      <c r="D21" s="419" t="s">
        <v>215</v>
      </c>
      <c r="E21" s="419"/>
      <c r="F21" s="419"/>
      <c r="G21" s="419" t="s">
        <v>217</v>
      </c>
      <c r="H21" s="419"/>
      <c r="I21" s="419"/>
    </row>
    <row r="22" spans="2:17">
      <c r="B22" s="239" t="s">
        <v>58</v>
      </c>
      <c r="C22" s="239" t="s">
        <v>232</v>
      </c>
      <c r="D22" s="240" t="s">
        <v>292</v>
      </c>
      <c r="E22" s="240" t="s">
        <v>222</v>
      </c>
      <c r="F22" s="240" t="s">
        <v>342</v>
      </c>
      <c r="G22" s="240" t="s">
        <v>292</v>
      </c>
      <c r="H22" s="240" t="s">
        <v>222</v>
      </c>
      <c r="I22" s="240" t="s">
        <v>342</v>
      </c>
    </row>
    <row r="23" spans="2:17" ht="15.75">
      <c r="B23" s="241" t="s">
        <v>288</v>
      </c>
      <c r="C23" s="241" t="s">
        <v>289</v>
      </c>
      <c r="D23" s="242"/>
      <c r="E23" s="243"/>
      <c r="F23" s="243"/>
      <c r="G23" s="244">
        <v>1.1299999999999999E-2</v>
      </c>
      <c r="H23" s="245" t="s">
        <v>569</v>
      </c>
      <c r="I23" s="245" t="s">
        <v>529</v>
      </c>
    </row>
    <row r="24" spans="2:17" ht="15.75">
      <c r="B24" s="241" t="s">
        <v>290</v>
      </c>
      <c r="C24" s="241" t="s">
        <v>225</v>
      </c>
      <c r="D24" s="242"/>
      <c r="E24" s="243"/>
      <c r="F24" s="243"/>
      <c r="G24" s="244">
        <v>8.8000000000000005E-3</v>
      </c>
      <c r="H24" s="245" t="s">
        <v>569</v>
      </c>
      <c r="I24" s="245" t="s">
        <v>529</v>
      </c>
    </row>
    <row r="25" spans="2:17" ht="15.75">
      <c r="B25" s="241" t="s">
        <v>290</v>
      </c>
      <c r="C25" s="241" t="s">
        <v>225</v>
      </c>
      <c r="D25" s="246">
        <v>0.73299999999999998</v>
      </c>
      <c r="E25" s="247" t="s">
        <v>570</v>
      </c>
      <c r="F25" s="245" t="s">
        <v>291</v>
      </c>
      <c r="G25" s="242"/>
      <c r="H25" s="243"/>
      <c r="I25" s="243"/>
    </row>
    <row r="26" spans="2:17" ht="15.75">
      <c r="B26" s="241" t="s">
        <v>296</v>
      </c>
      <c r="C26" s="241" t="s">
        <v>294</v>
      </c>
      <c r="D26" s="246">
        <v>0.43999999999999995</v>
      </c>
      <c r="E26" s="247" t="s">
        <v>571</v>
      </c>
      <c r="F26" s="245" t="s">
        <v>291</v>
      </c>
      <c r="G26" s="242"/>
      <c r="H26" s="243"/>
      <c r="I26" s="243"/>
    </row>
    <row r="27" spans="2:17" ht="15.75">
      <c r="B27" s="241" t="s">
        <v>296</v>
      </c>
      <c r="C27" s="241" t="s">
        <v>295</v>
      </c>
      <c r="D27" s="246">
        <v>0.47666666666666668</v>
      </c>
      <c r="E27" s="247" t="s">
        <v>571</v>
      </c>
      <c r="F27" s="245" t="s">
        <v>291</v>
      </c>
      <c r="G27" s="242"/>
      <c r="H27" s="243"/>
      <c r="I27" s="243"/>
    </row>
    <row r="28" spans="2:17" ht="15.75">
      <c r="B28" s="241" t="s">
        <v>293</v>
      </c>
      <c r="C28" s="241" t="s">
        <v>338</v>
      </c>
      <c r="D28" s="242"/>
      <c r="E28" s="243"/>
      <c r="F28" s="243"/>
      <c r="G28" s="248">
        <v>2.0114285714285717E-4</v>
      </c>
      <c r="H28" s="245" t="s">
        <v>572</v>
      </c>
      <c r="I28" s="245" t="s">
        <v>359</v>
      </c>
    </row>
    <row r="29" spans="2:17" ht="15.75">
      <c r="B29" s="241" t="s">
        <v>293</v>
      </c>
      <c r="C29" s="241" t="s">
        <v>316</v>
      </c>
      <c r="D29" s="242"/>
      <c r="E29" s="243"/>
      <c r="F29" s="243"/>
      <c r="G29" s="248">
        <v>3.7714285714285714E-4</v>
      </c>
      <c r="H29" s="245" t="s">
        <v>572</v>
      </c>
      <c r="I29" s="245" t="s">
        <v>359</v>
      </c>
    </row>
    <row r="30" spans="2:17" ht="15.75">
      <c r="B30" s="241" t="s">
        <v>60</v>
      </c>
      <c r="C30" s="241" t="s">
        <v>225</v>
      </c>
      <c r="D30" s="242"/>
      <c r="E30" s="243"/>
      <c r="F30" s="243"/>
      <c r="G30" s="248">
        <v>1.76E-4</v>
      </c>
      <c r="H30" s="245" t="s">
        <v>572</v>
      </c>
      <c r="I30" s="245" t="s">
        <v>359</v>
      </c>
    </row>
    <row r="31" spans="2:17" ht="15.75">
      <c r="B31" s="241" t="s">
        <v>297</v>
      </c>
      <c r="C31" s="241" t="s">
        <v>225</v>
      </c>
      <c r="D31" s="242"/>
      <c r="E31" s="243"/>
      <c r="F31" s="243"/>
      <c r="G31" s="248">
        <v>2.2628571428571432E-4</v>
      </c>
      <c r="H31" s="245" t="s">
        <v>572</v>
      </c>
      <c r="I31" s="245" t="s">
        <v>359</v>
      </c>
    </row>
    <row r="32" spans="2:17" ht="15.75">
      <c r="B32" s="241" t="s">
        <v>59</v>
      </c>
      <c r="C32" s="241" t="s">
        <v>225</v>
      </c>
      <c r="D32" s="242"/>
      <c r="E32" s="243"/>
      <c r="F32" s="249"/>
      <c r="G32" s="248">
        <v>2.3570000000000002E-3</v>
      </c>
      <c r="H32" s="245" t="s">
        <v>573</v>
      </c>
      <c r="I32" s="245" t="s">
        <v>486</v>
      </c>
    </row>
    <row r="33" spans="2:9" ht="15.75">
      <c r="B33" s="241" t="s">
        <v>57</v>
      </c>
      <c r="C33" s="241" t="s">
        <v>225</v>
      </c>
      <c r="D33" s="242"/>
      <c r="E33" s="243"/>
      <c r="F33" s="243"/>
      <c r="G33" s="248">
        <v>1.0883400000000002E-8</v>
      </c>
      <c r="H33" s="245" t="s">
        <v>574</v>
      </c>
      <c r="I33" s="245" t="s">
        <v>298</v>
      </c>
    </row>
    <row r="35" spans="2:9">
      <c r="B35" s="400" t="s">
        <v>513</v>
      </c>
      <c r="C35" s="400"/>
      <c r="D35" s="400"/>
      <c r="E35" s="400"/>
      <c r="F35" s="400"/>
    </row>
    <row r="36" spans="2:9">
      <c r="B36" s="250" t="s">
        <v>58</v>
      </c>
      <c r="C36" s="250" t="s">
        <v>232</v>
      </c>
      <c r="D36" s="250" t="s">
        <v>292</v>
      </c>
      <c r="E36" s="250" t="s">
        <v>222</v>
      </c>
      <c r="F36" s="250" t="s">
        <v>342</v>
      </c>
    </row>
    <row r="37" spans="2:9" ht="15.75">
      <c r="B37" s="241" t="s">
        <v>343</v>
      </c>
      <c r="C37" s="241" t="s">
        <v>344</v>
      </c>
      <c r="D37" s="251">
        <v>73.333333333333329</v>
      </c>
      <c r="E37" s="241" t="s">
        <v>575</v>
      </c>
      <c r="F37" s="241" t="s">
        <v>291</v>
      </c>
    </row>
    <row r="38" spans="2:9" ht="15.75">
      <c r="B38" s="241" t="s">
        <v>345</v>
      </c>
      <c r="C38" s="241" t="s">
        <v>225</v>
      </c>
      <c r="D38" s="252">
        <v>1.8857142857142857E-2</v>
      </c>
      <c r="E38" s="241" t="s">
        <v>576</v>
      </c>
      <c r="F38" s="241" t="s">
        <v>530</v>
      </c>
    </row>
    <row r="39" spans="2:9" ht="15" customHeight="1">
      <c r="C39" s="253"/>
      <c r="D39" s="253"/>
      <c r="E39" s="253"/>
      <c r="F39" s="253"/>
      <c r="G39" s="253"/>
    </row>
    <row r="40" spans="2:9">
      <c r="B40" s="400" t="s">
        <v>514</v>
      </c>
      <c r="C40" s="413"/>
      <c r="D40" s="413"/>
      <c r="E40" s="413"/>
      <c r="F40" s="413"/>
      <c r="G40" s="413"/>
    </row>
    <row r="41" spans="2:9">
      <c r="B41" s="254"/>
      <c r="C41" s="414" t="s">
        <v>350</v>
      </c>
      <c r="D41" s="415"/>
      <c r="E41" s="415"/>
      <c r="F41" s="415"/>
      <c r="G41" s="415"/>
      <c r="H41" s="416"/>
    </row>
    <row r="42" spans="2:9" ht="15.75">
      <c r="B42" s="250" t="s">
        <v>5</v>
      </c>
      <c r="C42" s="250" t="s">
        <v>216</v>
      </c>
      <c r="D42" s="250" t="s">
        <v>109</v>
      </c>
      <c r="E42" s="250" t="s">
        <v>217</v>
      </c>
      <c r="F42" s="250" t="s">
        <v>253</v>
      </c>
      <c r="G42" s="250" t="s">
        <v>342</v>
      </c>
      <c r="H42" s="250" t="s">
        <v>342</v>
      </c>
    </row>
    <row r="43" spans="2:9">
      <c r="B43" s="241" t="s">
        <v>110</v>
      </c>
      <c r="C43" s="255">
        <v>3.7792230666666666E-4</v>
      </c>
      <c r="D43" s="256">
        <v>7.9363684400000009E-3</v>
      </c>
      <c r="E43" s="257">
        <v>1.8642565763182677E-5</v>
      </c>
      <c r="F43" s="255">
        <v>6.7379559115503089E-4</v>
      </c>
      <c r="G43" s="241" t="s">
        <v>337</v>
      </c>
      <c r="H43" s="241" t="s">
        <v>357</v>
      </c>
    </row>
    <row r="44" spans="2:9">
      <c r="B44" s="241" t="s">
        <v>17</v>
      </c>
      <c r="C44" s="255">
        <v>5.1299999999999991E-3</v>
      </c>
      <c r="D44" s="256">
        <v>0.10773000000000001</v>
      </c>
      <c r="E44" s="257">
        <v>3.55509E-4</v>
      </c>
      <c r="F44" s="255">
        <v>1.2849110999999998E-2</v>
      </c>
      <c r="G44" s="241" t="s">
        <v>337</v>
      </c>
      <c r="H44" s="241" t="s">
        <v>355</v>
      </c>
    </row>
    <row r="45" spans="2:9">
      <c r="B45" s="241" t="s">
        <v>56</v>
      </c>
      <c r="C45" s="255">
        <v>3.7420853333333328E-3</v>
      </c>
      <c r="D45" s="256">
        <v>7.8583792E-2</v>
      </c>
      <c r="E45" s="257">
        <v>1.2348881599999999E-4</v>
      </c>
      <c r="F45" s="255">
        <v>4.4632386354285705E-3</v>
      </c>
      <c r="G45" s="241" t="s">
        <v>337</v>
      </c>
      <c r="H45" s="241" t="s">
        <v>356</v>
      </c>
    </row>
    <row r="46" spans="2:9">
      <c r="B46" s="241" t="s">
        <v>14</v>
      </c>
      <c r="C46" s="255">
        <v>4.6464000000000002E-3</v>
      </c>
      <c r="D46" s="256">
        <v>9.7574400000000019E-2</v>
      </c>
      <c r="E46" s="257">
        <v>3.83328E-4</v>
      </c>
      <c r="F46" s="255">
        <v>1.3854569142857143E-2</v>
      </c>
      <c r="G46" s="241" t="s">
        <v>337</v>
      </c>
      <c r="H46" s="241" t="s">
        <v>355</v>
      </c>
    </row>
    <row r="47" spans="2:9">
      <c r="B47" s="241" t="s">
        <v>16</v>
      </c>
      <c r="C47" s="255">
        <v>3.4965333333333327E-3</v>
      </c>
      <c r="D47" s="256">
        <v>7.3427199999999998E-2</v>
      </c>
      <c r="E47" s="257">
        <v>2.8846399999999994E-4</v>
      </c>
      <c r="F47" s="255">
        <v>1.0425913142857141E-2</v>
      </c>
      <c r="G47" s="241" t="s">
        <v>337</v>
      </c>
      <c r="H47" s="241" t="s">
        <v>358</v>
      </c>
    </row>
    <row r="48" spans="2:9">
      <c r="B48" s="241" t="s">
        <v>24</v>
      </c>
      <c r="C48" s="255">
        <v>2.3206400000000001E-3</v>
      </c>
      <c r="D48" s="256">
        <v>4.873344000000001E-2</v>
      </c>
      <c r="E48" s="257">
        <v>5.3606783999999999E-5</v>
      </c>
      <c r="F48" s="255">
        <v>1.9375023359999998E-3</v>
      </c>
      <c r="G48" s="241" t="s">
        <v>337</v>
      </c>
      <c r="H48" s="241" t="s">
        <v>356</v>
      </c>
    </row>
    <row r="49" spans="2:8">
      <c r="B49" s="241" t="s">
        <v>15</v>
      </c>
      <c r="C49" s="255">
        <v>2.7719999999999997E-3</v>
      </c>
      <c r="D49" s="256">
        <v>5.8212000000000007E-2</v>
      </c>
      <c r="E49" s="257">
        <v>5.4885600000000002E-5</v>
      </c>
      <c r="F49" s="255">
        <v>1.9837224E-3</v>
      </c>
      <c r="G49" s="241" t="s">
        <v>337</v>
      </c>
      <c r="H49" s="241" t="s">
        <v>358</v>
      </c>
    </row>
    <row r="51" spans="2:8">
      <c r="B51" s="400" t="s">
        <v>515</v>
      </c>
      <c r="C51" s="400"/>
      <c r="D51" s="400"/>
      <c r="E51" s="400"/>
      <c r="F51" s="400"/>
    </row>
    <row r="52" spans="2:8">
      <c r="B52" s="250" t="s">
        <v>5</v>
      </c>
      <c r="C52" s="250" t="s">
        <v>232</v>
      </c>
      <c r="D52" s="250" t="s">
        <v>292</v>
      </c>
      <c r="E52" s="250" t="s">
        <v>222</v>
      </c>
      <c r="F52" s="250" t="s">
        <v>342</v>
      </c>
    </row>
    <row r="53" spans="2:8" ht="15.75">
      <c r="B53" s="241" t="s">
        <v>14</v>
      </c>
      <c r="C53" s="241" t="s">
        <v>225</v>
      </c>
      <c r="D53" s="257">
        <v>2.43624857142857E-4</v>
      </c>
      <c r="E53" s="241" t="s">
        <v>577</v>
      </c>
      <c r="F53" s="241" t="s">
        <v>529</v>
      </c>
    </row>
    <row r="54" spans="2:8" ht="15.75">
      <c r="B54" s="241" t="s">
        <v>56</v>
      </c>
      <c r="C54" s="241" t="s">
        <v>225</v>
      </c>
      <c r="D54" s="257">
        <v>1.6296342857142858E-4</v>
      </c>
      <c r="E54" s="241" t="s">
        <v>577</v>
      </c>
      <c r="F54" s="241" t="s">
        <v>529</v>
      </c>
    </row>
    <row r="55" spans="2:8" ht="15.75">
      <c r="B55" s="241" t="s">
        <v>16</v>
      </c>
      <c r="C55" s="241" t="s">
        <v>225</v>
      </c>
      <c r="D55" s="257">
        <v>3.4629728571428575E-4</v>
      </c>
      <c r="E55" s="241" t="s">
        <v>577</v>
      </c>
      <c r="F55" s="241" t="s">
        <v>529</v>
      </c>
    </row>
    <row r="56" spans="2:8" ht="15.75">
      <c r="B56" s="241" t="s">
        <v>24</v>
      </c>
      <c r="C56" s="241" t="s">
        <v>225</v>
      </c>
      <c r="D56" s="257">
        <v>1.1484000000000002E-4</v>
      </c>
      <c r="E56" s="241" t="s">
        <v>577</v>
      </c>
      <c r="F56" s="241" t="s">
        <v>529</v>
      </c>
    </row>
    <row r="57" spans="2:8" ht="15.75">
      <c r="B57" s="241" t="s">
        <v>15</v>
      </c>
      <c r="C57" s="241" t="s">
        <v>225</v>
      </c>
      <c r="D57" s="257">
        <v>1.7772857142857139E-4</v>
      </c>
      <c r="E57" s="241" t="s">
        <v>577</v>
      </c>
      <c r="F57" s="241" t="s">
        <v>529</v>
      </c>
    </row>
    <row r="58" spans="2:8" ht="15.75">
      <c r="B58" s="241" t="s">
        <v>346</v>
      </c>
      <c r="C58" s="241" t="s">
        <v>225</v>
      </c>
      <c r="D58" s="257">
        <v>1.7065714285714286E-5</v>
      </c>
      <c r="E58" s="241" t="s">
        <v>577</v>
      </c>
      <c r="F58" s="241" t="s">
        <v>529</v>
      </c>
    </row>
    <row r="59" spans="2:8" ht="15.75">
      <c r="B59" s="241" t="s">
        <v>347</v>
      </c>
      <c r="C59" s="241" t="s">
        <v>225</v>
      </c>
      <c r="D59" s="257">
        <v>3.4131428571428567E-6</v>
      </c>
      <c r="E59" s="241" t="s">
        <v>577</v>
      </c>
      <c r="F59" s="241" t="s">
        <v>529</v>
      </c>
    </row>
    <row r="60" spans="2:8" ht="15.75">
      <c r="B60" s="241" t="s">
        <v>17</v>
      </c>
      <c r="C60" s="241" t="s">
        <v>225</v>
      </c>
      <c r="D60" s="257">
        <v>3.6142857142857146E-4</v>
      </c>
      <c r="E60" s="241" t="s">
        <v>577</v>
      </c>
      <c r="F60" s="241" t="s">
        <v>529</v>
      </c>
    </row>
    <row r="61" spans="2:8" ht="15.75">
      <c r="B61" s="241" t="s">
        <v>238</v>
      </c>
      <c r="C61" s="241" t="s">
        <v>71</v>
      </c>
      <c r="D61" s="257">
        <v>3.823809523809524E-4</v>
      </c>
      <c r="E61" s="241" t="s">
        <v>577</v>
      </c>
      <c r="F61" s="241" t="s">
        <v>359</v>
      </c>
    </row>
    <row r="62" spans="2:8" ht="15.75">
      <c r="B62" s="241" t="s">
        <v>238</v>
      </c>
      <c r="C62" s="241" t="s">
        <v>72</v>
      </c>
      <c r="D62" s="257">
        <v>1.5801587301587301E-4</v>
      </c>
      <c r="E62" s="241" t="s">
        <v>577</v>
      </c>
      <c r="F62" s="241" t="s">
        <v>359</v>
      </c>
    </row>
    <row r="63" spans="2:8" ht="15.75">
      <c r="B63" s="241" t="s">
        <v>238</v>
      </c>
      <c r="C63" s="241" t="s">
        <v>44</v>
      </c>
      <c r="D63" s="257">
        <v>2.4776190476190476E-4</v>
      </c>
      <c r="E63" s="241" t="s">
        <v>577</v>
      </c>
      <c r="F63" s="241" t="s">
        <v>359</v>
      </c>
    </row>
    <row r="65" spans="2:8">
      <c r="B65" s="413" t="s">
        <v>516</v>
      </c>
      <c r="C65" s="413"/>
      <c r="D65" s="413"/>
      <c r="E65" s="413"/>
      <c r="F65" s="413"/>
    </row>
    <row r="66" spans="2:8">
      <c r="B66" s="419" t="s">
        <v>403</v>
      </c>
      <c r="C66" s="419"/>
      <c r="D66" s="419"/>
      <c r="E66" s="419"/>
      <c r="F66" s="419"/>
    </row>
    <row r="67" spans="2:8">
      <c r="B67" s="240" t="s">
        <v>394</v>
      </c>
      <c r="C67" s="240" t="s">
        <v>232</v>
      </c>
      <c r="D67" s="240" t="s">
        <v>401</v>
      </c>
      <c r="E67" s="240" t="s">
        <v>222</v>
      </c>
      <c r="F67" s="240" t="s">
        <v>342</v>
      </c>
    </row>
    <row r="68" spans="2:8">
      <c r="B68" s="258" t="s">
        <v>318</v>
      </c>
      <c r="C68" s="259" t="s">
        <v>225</v>
      </c>
      <c r="D68" s="260">
        <v>0</v>
      </c>
      <c r="E68" s="245" t="s">
        <v>337</v>
      </c>
      <c r="F68" s="245" t="s">
        <v>530</v>
      </c>
    </row>
    <row r="69" spans="2:8">
      <c r="B69" s="258" t="s">
        <v>326</v>
      </c>
      <c r="C69" s="259" t="s">
        <v>225</v>
      </c>
      <c r="D69" s="261"/>
      <c r="E69" s="262"/>
      <c r="F69" s="262"/>
    </row>
    <row r="70" spans="2:8">
      <c r="B70" s="263" t="s">
        <v>327</v>
      </c>
      <c r="C70" s="259" t="s">
        <v>225</v>
      </c>
      <c r="D70" s="261"/>
      <c r="E70" s="262"/>
      <c r="F70" s="262"/>
    </row>
    <row r="71" spans="2:8">
      <c r="B71" s="264" t="s">
        <v>319</v>
      </c>
      <c r="C71" s="259" t="s">
        <v>225</v>
      </c>
      <c r="D71" s="260">
        <v>1</v>
      </c>
      <c r="E71" s="245" t="s">
        <v>337</v>
      </c>
      <c r="F71" s="245" t="s">
        <v>530</v>
      </c>
    </row>
    <row r="72" spans="2:8">
      <c r="B72" s="264" t="s">
        <v>328</v>
      </c>
      <c r="C72" s="259" t="s">
        <v>225</v>
      </c>
      <c r="D72" s="265"/>
      <c r="E72" s="262"/>
      <c r="F72" s="262"/>
    </row>
    <row r="73" spans="2:8">
      <c r="B73" s="266" t="s">
        <v>320</v>
      </c>
      <c r="C73" s="259" t="s">
        <v>225</v>
      </c>
      <c r="D73" s="260">
        <v>0.5</v>
      </c>
      <c r="E73" s="245" t="s">
        <v>337</v>
      </c>
      <c r="F73" s="245" t="s">
        <v>530</v>
      </c>
    </row>
    <row r="74" spans="2:8">
      <c r="B74" s="266" t="s">
        <v>321</v>
      </c>
      <c r="C74" s="259" t="s">
        <v>225</v>
      </c>
      <c r="D74" s="260">
        <v>0.2</v>
      </c>
      <c r="E74" s="245" t="s">
        <v>337</v>
      </c>
      <c r="F74" s="245" t="s">
        <v>530</v>
      </c>
    </row>
    <row r="75" spans="2:8">
      <c r="B75" s="263" t="s">
        <v>329</v>
      </c>
      <c r="C75" s="259" t="s">
        <v>225</v>
      </c>
      <c r="D75" s="265"/>
      <c r="E75" s="262"/>
      <c r="F75" s="262"/>
    </row>
    <row r="76" spans="2:8">
      <c r="B76" s="264" t="s">
        <v>322</v>
      </c>
      <c r="C76" s="259" t="s">
        <v>225</v>
      </c>
      <c r="D76" s="260">
        <v>0.8</v>
      </c>
      <c r="E76" s="245" t="s">
        <v>337</v>
      </c>
      <c r="F76" s="245" t="s">
        <v>530</v>
      </c>
      <c r="H76" s="267"/>
    </row>
    <row r="77" spans="2:8">
      <c r="B77" s="264" t="s">
        <v>323</v>
      </c>
      <c r="C77" s="259" t="s">
        <v>225</v>
      </c>
      <c r="D77" s="260">
        <v>0.4</v>
      </c>
      <c r="E77" s="245" t="s">
        <v>337</v>
      </c>
      <c r="F77" s="245" t="s">
        <v>530</v>
      </c>
      <c r="H77" s="267"/>
    </row>
    <row r="78" spans="2:8">
      <c r="B78" s="263" t="s">
        <v>330</v>
      </c>
      <c r="C78" s="259" t="s">
        <v>225</v>
      </c>
      <c r="D78" s="265"/>
      <c r="E78" s="262"/>
      <c r="F78" s="262"/>
    </row>
    <row r="79" spans="2:8">
      <c r="B79" s="264" t="s">
        <v>324</v>
      </c>
      <c r="C79" s="259" t="s">
        <v>225</v>
      </c>
      <c r="D79" s="260">
        <v>0.8</v>
      </c>
      <c r="E79" s="245" t="s">
        <v>337</v>
      </c>
      <c r="F79" s="245" t="s">
        <v>530</v>
      </c>
    </row>
    <row r="80" spans="2:8">
      <c r="B80" s="264" t="s">
        <v>325</v>
      </c>
      <c r="C80" s="259" t="s">
        <v>225</v>
      </c>
      <c r="D80" s="260">
        <v>0.6</v>
      </c>
      <c r="E80" s="245" t="s">
        <v>337</v>
      </c>
      <c r="F80" s="245" t="s">
        <v>530</v>
      </c>
    </row>
    <row r="81" spans="2:10">
      <c r="B81" s="419" t="s">
        <v>402</v>
      </c>
      <c r="C81" s="419"/>
      <c r="D81" s="419"/>
      <c r="E81" s="419"/>
      <c r="F81" s="419"/>
    </row>
    <row r="82" spans="2:10">
      <c r="B82" s="240" t="s">
        <v>336</v>
      </c>
      <c r="C82" s="240" t="s">
        <v>232</v>
      </c>
      <c r="D82" s="240" t="s">
        <v>401</v>
      </c>
      <c r="E82" s="240" t="s">
        <v>222</v>
      </c>
      <c r="F82" s="240" t="s">
        <v>342</v>
      </c>
    </row>
    <row r="83" spans="2:10">
      <c r="B83" s="245" t="s">
        <v>335</v>
      </c>
      <c r="C83" s="259" t="s">
        <v>405</v>
      </c>
      <c r="D83" s="260">
        <v>1</v>
      </c>
      <c r="E83" s="245" t="s">
        <v>337</v>
      </c>
      <c r="F83" s="245" t="s">
        <v>530</v>
      </c>
    </row>
    <row r="84" spans="2:10">
      <c r="B84" s="245" t="s">
        <v>334</v>
      </c>
      <c r="C84" s="259" t="s">
        <v>405</v>
      </c>
      <c r="D84" s="260">
        <v>1.5</v>
      </c>
      <c r="E84" s="245" t="s">
        <v>337</v>
      </c>
      <c r="F84" s="245" t="s">
        <v>530</v>
      </c>
    </row>
    <row r="85" spans="2:10">
      <c r="B85" s="245" t="s">
        <v>333</v>
      </c>
      <c r="C85" s="259" t="s">
        <v>405</v>
      </c>
      <c r="D85" s="260">
        <v>1.8</v>
      </c>
      <c r="E85" s="245" t="s">
        <v>337</v>
      </c>
      <c r="F85" s="245" t="s">
        <v>530</v>
      </c>
    </row>
    <row r="86" spans="2:10">
      <c r="B86" s="245" t="s">
        <v>332</v>
      </c>
      <c r="C86" s="259" t="s">
        <v>405</v>
      </c>
      <c r="D86" s="260">
        <v>2.5</v>
      </c>
      <c r="E86" s="245" t="s">
        <v>337</v>
      </c>
      <c r="F86" s="245" t="s">
        <v>530</v>
      </c>
    </row>
    <row r="87" spans="2:10">
      <c r="B87" s="245" t="s">
        <v>331</v>
      </c>
      <c r="C87" s="259" t="s">
        <v>405</v>
      </c>
      <c r="D87" s="260">
        <v>3.5</v>
      </c>
      <c r="E87" s="245" t="s">
        <v>337</v>
      </c>
      <c r="F87" s="245" t="s">
        <v>530</v>
      </c>
    </row>
    <row r="88" spans="2:10">
      <c r="B88" s="245" t="s">
        <v>84</v>
      </c>
      <c r="C88" s="259" t="s">
        <v>405</v>
      </c>
      <c r="D88" s="260">
        <v>4</v>
      </c>
      <c r="E88" s="245" t="s">
        <v>337</v>
      </c>
      <c r="F88" s="245" t="s">
        <v>530</v>
      </c>
    </row>
    <row r="89" spans="2:10">
      <c r="B89" s="419" t="s">
        <v>400</v>
      </c>
      <c r="C89" s="419"/>
      <c r="D89" s="419"/>
      <c r="E89" s="419"/>
      <c r="F89" s="419"/>
    </row>
    <row r="90" spans="2:10">
      <c r="B90" s="240" t="s">
        <v>218</v>
      </c>
      <c r="C90" s="240" t="s">
        <v>232</v>
      </c>
      <c r="D90" s="240" t="s">
        <v>401</v>
      </c>
      <c r="E90" s="240" t="s">
        <v>222</v>
      </c>
      <c r="F90" s="240" t="s">
        <v>342</v>
      </c>
    </row>
    <row r="91" spans="2:10" ht="15.75">
      <c r="B91" s="259" t="s">
        <v>339</v>
      </c>
      <c r="C91" s="259" t="s">
        <v>340</v>
      </c>
      <c r="D91" s="268">
        <v>0.2</v>
      </c>
      <c r="E91" s="245" t="s">
        <v>578</v>
      </c>
      <c r="F91" s="245" t="s">
        <v>530</v>
      </c>
    </row>
    <row r="92" spans="2:10" ht="15.75">
      <c r="B92" s="245" t="s">
        <v>282</v>
      </c>
      <c r="C92" s="259" t="s">
        <v>349</v>
      </c>
      <c r="D92" s="268">
        <v>0.41700000000000004</v>
      </c>
      <c r="E92" s="245" t="s">
        <v>578</v>
      </c>
      <c r="F92" s="245" t="s">
        <v>529</v>
      </c>
    </row>
    <row r="93" spans="2:10" ht="15.75">
      <c r="B93" s="245" t="s">
        <v>282</v>
      </c>
      <c r="C93" s="259" t="s">
        <v>404</v>
      </c>
      <c r="D93" s="268">
        <v>0.317</v>
      </c>
      <c r="E93" s="245" t="s">
        <v>578</v>
      </c>
      <c r="F93" s="245" t="s">
        <v>529</v>
      </c>
    </row>
    <row r="95" spans="2:10">
      <c r="B95" s="400" t="s">
        <v>517</v>
      </c>
      <c r="C95" s="400"/>
      <c r="D95" s="400"/>
      <c r="E95" s="400"/>
      <c r="F95" s="400"/>
      <c r="G95" s="400"/>
      <c r="H95" s="400"/>
      <c r="I95" s="400"/>
      <c r="J95" s="400"/>
    </row>
    <row r="96" spans="2:10">
      <c r="B96" s="34"/>
      <c r="C96" s="269"/>
      <c r="D96" s="403" t="s">
        <v>351</v>
      </c>
      <c r="E96" s="404"/>
      <c r="F96" s="404"/>
      <c r="G96" s="404"/>
      <c r="H96" s="404"/>
      <c r="I96" s="404"/>
      <c r="J96" s="405"/>
    </row>
    <row r="97" spans="2:10">
      <c r="B97" s="36" t="s">
        <v>76</v>
      </c>
      <c r="C97" s="199" t="s">
        <v>232</v>
      </c>
      <c r="D97" s="29" t="s">
        <v>305</v>
      </c>
      <c r="E97" s="29" t="s">
        <v>306</v>
      </c>
      <c r="F97" s="29" t="s">
        <v>307</v>
      </c>
      <c r="G97" s="29" t="s">
        <v>308</v>
      </c>
      <c r="H97" s="29" t="s">
        <v>74</v>
      </c>
      <c r="I97" s="29" t="s">
        <v>222</v>
      </c>
      <c r="J97" s="29" t="s">
        <v>342</v>
      </c>
    </row>
    <row r="98" spans="2:10" ht="15.75">
      <c r="B98" s="270" t="s">
        <v>90</v>
      </c>
      <c r="C98" s="271" t="s">
        <v>299</v>
      </c>
      <c r="D98" s="272">
        <v>1.8857142857142854E-4</v>
      </c>
      <c r="E98" s="272">
        <v>9.4285714285714278E-6</v>
      </c>
      <c r="F98" s="272">
        <v>4.7142857142857136E-5</v>
      </c>
      <c r="G98" s="255">
        <v>6.6000000000000005E-5</v>
      </c>
      <c r="H98" s="255">
        <v>9.4285714285714272E-5</v>
      </c>
      <c r="I98" s="245" t="s">
        <v>579</v>
      </c>
      <c r="J98" s="245" t="s">
        <v>531</v>
      </c>
    </row>
    <row r="99" spans="2:10" ht="15.75">
      <c r="B99" s="270" t="s">
        <v>90</v>
      </c>
      <c r="C99" s="271" t="s">
        <v>300</v>
      </c>
      <c r="D99" s="272">
        <v>3.7714285714285709E-4</v>
      </c>
      <c r="E99" s="272">
        <v>1.8857142857142856E-5</v>
      </c>
      <c r="F99" s="272">
        <v>9.4285714285714272E-5</v>
      </c>
      <c r="G99" s="255">
        <v>1.3200000000000001E-4</v>
      </c>
      <c r="H99" s="255">
        <v>1.8857142857142854E-4</v>
      </c>
      <c r="I99" s="245" t="s">
        <v>579</v>
      </c>
      <c r="J99" s="245" t="s">
        <v>531</v>
      </c>
    </row>
    <row r="100" spans="2:10" ht="15.75">
      <c r="B100" s="270" t="s">
        <v>89</v>
      </c>
      <c r="C100" s="271" t="s">
        <v>299</v>
      </c>
      <c r="D100" s="272">
        <v>1.8857142857142854E-4</v>
      </c>
      <c r="E100" s="272">
        <v>9.4285714285714278E-6</v>
      </c>
      <c r="F100" s="272">
        <v>4.7142857142857136E-5</v>
      </c>
      <c r="G100" s="255">
        <v>6.6000000000000005E-5</v>
      </c>
      <c r="H100" s="255">
        <v>9.4285714285714272E-5</v>
      </c>
      <c r="I100" s="245" t="s">
        <v>579</v>
      </c>
      <c r="J100" s="245" t="s">
        <v>531</v>
      </c>
    </row>
    <row r="101" spans="2:10" ht="15.75">
      <c r="B101" s="270" t="s">
        <v>89</v>
      </c>
      <c r="C101" s="271" t="s">
        <v>300</v>
      </c>
      <c r="D101" s="272">
        <v>3.7714285714285709E-4</v>
      </c>
      <c r="E101" s="272">
        <v>1.8857142857142856E-5</v>
      </c>
      <c r="F101" s="272">
        <v>9.4285714285714272E-5</v>
      </c>
      <c r="G101" s="255">
        <v>1.3200000000000001E-4</v>
      </c>
      <c r="H101" s="255">
        <v>1.8857142857142854E-4</v>
      </c>
      <c r="I101" s="245" t="s">
        <v>579</v>
      </c>
      <c r="J101" s="245" t="s">
        <v>531</v>
      </c>
    </row>
    <row r="102" spans="2:10" ht="15.75">
      <c r="B102" s="241" t="s">
        <v>77</v>
      </c>
      <c r="C102" s="271" t="s">
        <v>225</v>
      </c>
      <c r="D102" s="272">
        <v>1.2571428571428571E-3</v>
      </c>
      <c r="E102" s="272">
        <v>6.2857142857142861E-5</v>
      </c>
      <c r="F102" s="272">
        <v>3.1428571428571427E-4</v>
      </c>
      <c r="G102" s="255">
        <v>4.4000000000000002E-4</v>
      </c>
      <c r="H102" s="255">
        <v>6.2857142857142853E-4</v>
      </c>
      <c r="I102" s="245" t="s">
        <v>579</v>
      </c>
      <c r="J102" s="245" t="s">
        <v>531</v>
      </c>
    </row>
    <row r="103" spans="2:10" ht="15.75">
      <c r="B103" s="241" t="s">
        <v>78</v>
      </c>
      <c r="C103" s="271" t="s">
        <v>225</v>
      </c>
      <c r="D103" s="272">
        <v>1.2571428571428571E-3</v>
      </c>
      <c r="E103" s="272">
        <v>6.2857142857142861E-5</v>
      </c>
      <c r="F103" s="272">
        <v>3.1428571428571427E-4</v>
      </c>
      <c r="G103" s="255">
        <v>4.4000000000000002E-4</v>
      </c>
      <c r="H103" s="255">
        <v>6.2857142857142853E-4</v>
      </c>
      <c r="I103" s="245" t="s">
        <v>579</v>
      </c>
      <c r="J103" s="245" t="s">
        <v>531</v>
      </c>
    </row>
    <row r="104" spans="2:10" ht="15.75">
      <c r="B104" s="241" t="s">
        <v>79</v>
      </c>
      <c r="C104" s="271" t="s">
        <v>225</v>
      </c>
      <c r="D104" s="272">
        <v>1.2571428571428571E-3</v>
      </c>
      <c r="E104" s="272">
        <v>6.2857142857142861E-5</v>
      </c>
      <c r="F104" s="272">
        <v>3.1428571428571427E-4</v>
      </c>
      <c r="G104" s="255">
        <v>4.4000000000000002E-4</v>
      </c>
      <c r="H104" s="255">
        <v>6.2857142857142853E-4</v>
      </c>
      <c r="I104" s="245" t="s">
        <v>579</v>
      </c>
      <c r="J104" s="245" t="s">
        <v>531</v>
      </c>
    </row>
    <row r="105" spans="2:10" ht="15.75">
      <c r="B105" s="241" t="s">
        <v>28</v>
      </c>
      <c r="C105" s="271" t="s">
        <v>225</v>
      </c>
      <c r="D105" s="272">
        <v>1.2571428571428571E-3</v>
      </c>
      <c r="E105" s="272">
        <v>6.2857142857142861E-5</v>
      </c>
      <c r="F105" s="272">
        <v>3.1428571428571427E-4</v>
      </c>
      <c r="G105" s="255">
        <v>4.4000000000000002E-4</v>
      </c>
      <c r="H105" s="255">
        <v>4.4000000000000002E-4</v>
      </c>
      <c r="I105" s="245" t="s">
        <v>579</v>
      </c>
      <c r="J105" s="245" t="s">
        <v>531</v>
      </c>
    </row>
    <row r="106" spans="2:10" ht="15.75">
      <c r="B106" s="241" t="s">
        <v>309</v>
      </c>
      <c r="C106" s="271" t="s">
        <v>225</v>
      </c>
      <c r="D106" s="272">
        <v>1.8857142857142856E-5</v>
      </c>
      <c r="E106" s="272">
        <v>9.4285714285714278E-7</v>
      </c>
      <c r="F106" s="272">
        <v>4.7142857142857139E-6</v>
      </c>
      <c r="G106" s="255">
        <v>6.5999999999999995E-6</v>
      </c>
      <c r="H106" s="255">
        <v>6.5999999999999995E-6</v>
      </c>
      <c r="I106" s="245" t="s">
        <v>579</v>
      </c>
      <c r="J106" s="245" t="s">
        <v>531</v>
      </c>
    </row>
    <row r="107" spans="2:10" ht="15.75">
      <c r="B107" s="241" t="s">
        <v>80</v>
      </c>
      <c r="C107" s="271" t="s">
        <v>225</v>
      </c>
      <c r="D107" s="272">
        <v>1.8857142857142856E-5</v>
      </c>
      <c r="E107" s="272">
        <v>9.4285714285714278E-7</v>
      </c>
      <c r="F107" s="272">
        <v>4.7142857142857139E-6</v>
      </c>
      <c r="G107" s="255">
        <v>6.5999999999999995E-6</v>
      </c>
      <c r="H107" s="255">
        <v>6.5999999999999995E-6</v>
      </c>
      <c r="I107" s="245" t="s">
        <v>579</v>
      </c>
      <c r="J107" s="245" t="s">
        <v>531</v>
      </c>
    </row>
    <row r="108" spans="2:10" ht="15.75">
      <c r="B108" s="241" t="s">
        <v>81</v>
      </c>
      <c r="C108" s="271" t="s">
        <v>225</v>
      </c>
      <c r="D108" s="272">
        <v>1.8857142857142856E-5</v>
      </c>
      <c r="E108" s="272">
        <v>9.4285714285714278E-7</v>
      </c>
      <c r="F108" s="272">
        <v>4.7142857142857139E-6</v>
      </c>
      <c r="G108" s="255">
        <v>6.5999999999999995E-6</v>
      </c>
      <c r="H108" s="255">
        <v>6.5999999999999995E-6</v>
      </c>
      <c r="I108" s="245" t="s">
        <v>579</v>
      </c>
      <c r="J108" s="245" t="s">
        <v>531</v>
      </c>
    </row>
    <row r="109" spans="2:10" ht="15.75">
      <c r="B109" s="241" t="s">
        <v>82</v>
      </c>
      <c r="C109" s="271" t="s">
        <v>225</v>
      </c>
      <c r="D109" s="272">
        <v>9.4285714285714278E-6</v>
      </c>
      <c r="E109" s="272">
        <v>4.7142857142857139E-7</v>
      </c>
      <c r="F109" s="272">
        <v>2.357142857142857E-6</v>
      </c>
      <c r="G109" s="255">
        <v>3.2999999999999997E-6</v>
      </c>
      <c r="H109" s="255">
        <v>3.2999999999999997E-6</v>
      </c>
      <c r="I109" s="245" t="s">
        <v>579</v>
      </c>
      <c r="J109" s="245" t="s">
        <v>531</v>
      </c>
    </row>
    <row r="110" spans="2:10" ht="15.75">
      <c r="B110" s="241" t="s">
        <v>83</v>
      </c>
      <c r="C110" s="271" t="s">
        <v>225</v>
      </c>
      <c r="D110" s="272">
        <v>9.4285714285714278E-6</v>
      </c>
      <c r="E110" s="272">
        <v>4.7142857142857139E-7</v>
      </c>
      <c r="F110" s="272">
        <v>2.357142857142857E-6</v>
      </c>
      <c r="G110" s="255">
        <v>3.2999999999999997E-6</v>
      </c>
      <c r="H110" s="255">
        <v>3.2999999999999997E-6</v>
      </c>
      <c r="I110" s="245" t="s">
        <v>579</v>
      </c>
      <c r="J110" s="245" t="s">
        <v>531</v>
      </c>
    </row>
    <row r="111" spans="2:10" ht="15.75">
      <c r="B111" s="241" t="s">
        <v>315</v>
      </c>
      <c r="C111" s="271" t="s">
        <v>225</v>
      </c>
      <c r="D111" s="272">
        <v>2.2000000000000001E-3</v>
      </c>
      <c r="E111" s="272">
        <v>1.1E-4</v>
      </c>
      <c r="F111" s="272">
        <v>5.5000000000000003E-4</v>
      </c>
      <c r="G111" s="255">
        <v>7.7000000000000007E-4</v>
      </c>
      <c r="H111" s="255">
        <v>7.7000000000000007E-4</v>
      </c>
      <c r="I111" s="245" t="s">
        <v>579</v>
      </c>
      <c r="J111" s="245" t="s">
        <v>531</v>
      </c>
    </row>
    <row r="112" spans="2:10" ht="15.75">
      <c r="B112" s="270" t="s">
        <v>92</v>
      </c>
      <c r="C112" s="271" t="s">
        <v>299</v>
      </c>
      <c r="D112" s="272">
        <v>3.7714285714285709E-4</v>
      </c>
      <c r="E112" s="272">
        <v>1.8857142857142856E-5</v>
      </c>
      <c r="F112" s="272">
        <v>9.4285714285714272E-5</v>
      </c>
      <c r="G112" s="255">
        <v>1.3200000000000001E-4</v>
      </c>
      <c r="H112" s="255">
        <v>1.3200000000000001E-4</v>
      </c>
      <c r="I112" s="245" t="s">
        <v>579</v>
      </c>
      <c r="J112" s="245" t="s">
        <v>531</v>
      </c>
    </row>
    <row r="113" spans="1:33" ht="15.75">
      <c r="B113" s="270" t="s">
        <v>92</v>
      </c>
      <c r="C113" s="271" t="s">
        <v>301</v>
      </c>
      <c r="D113" s="272">
        <v>7.5428571428571417E-4</v>
      </c>
      <c r="E113" s="272">
        <v>3.7714285714285711E-5</v>
      </c>
      <c r="F113" s="272">
        <v>1.8857142857142854E-4</v>
      </c>
      <c r="G113" s="255">
        <v>2.6400000000000002E-4</v>
      </c>
      <c r="H113" s="255">
        <v>2.6400000000000002E-4</v>
      </c>
      <c r="I113" s="245" t="s">
        <v>579</v>
      </c>
      <c r="J113" s="245" t="s">
        <v>531</v>
      </c>
    </row>
    <row r="114" spans="1:33" ht="15.75">
      <c r="B114" s="270" t="s">
        <v>92</v>
      </c>
      <c r="C114" s="271" t="s">
        <v>302</v>
      </c>
      <c r="D114" s="272">
        <v>1.2571428571428571E-3</v>
      </c>
      <c r="E114" s="272">
        <v>6.2857142857142861E-5</v>
      </c>
      <c r="F114" s="272">
        <v>3.1428571428571427E-4</v>
      </c>
      <c r="G114" s="255">
        <v>4.4000000000000002E-4</v>
      </c>
      <c r="H114" s="255">
        <v>4.4000000000000002E-4</v>
      </c>
      <c r="I114" s="245" t="s">
        <v>579</v>
      </c>
      <c r="J114" s="245" t="s">
        <v>531</v>
      </c>
    </row>
    <row r="115" spans="1:33" ht="15.75">
      <c r="B115" s="270" t="s">
        <v>37</v>
      </c>
      <c r="C115" s="271" t="s">
        <v>303</v>
      </c>
      <c r="D115" s="272">
        <v>2.5142857142857145E-4</v>
      </c>
      <c r="E115" s="272">
        <v>1.2571428571428572E-5</v>
      </c>
      <c r="F115" s="272">
        <v>6.2857142857142861E-5</v>
      </c>
      <c r="G115" s="255">
        <v>8.7999999999999998E-5</v>
      </c>
      <c r="H115" s="255">
        <v>8.7999999999999998E-5</v>
      </c>
      <c r="I115" s="245" t="s">
        <v>579</v>
      </c>
      <c r="J115" s="245" t="s">
        <v>531</v>
      </c>
    </row>
    <row r="116" spans="1:33" ht="15.75">
      <c r="B116" s="273" t="s">
        <v>37</v>
      </c>
      <c r="C116" s="271" t="s">
        <v>304</v>
      </c>
      <c r="D116" s="272">
        <v>5.0285714285714289E-4</v>
      </c>
      <c r="E116" s="272">
        <v>2.5142857142857143E-5</v>
      </c>
      <c r="F116" s="272">
        <v>1.2571428571428572E-4</v>
      </c>
      <c r="G116" s="255">
        <v>1.76E-4</v>
      </c>
      <c r="H116" s="255">
        <v>1.76E-4</v>
      </c>
      <c r="I116" s="245" t="s">
        <v>579</v>
      </c>
      <c r="J116" s="245" t="s">
        <v>531</v>
      </c>
    </row>
    <row r="118" spans="1:33">
      <c r="B118" s="400" t="s">
        <v>518</v>
      </c>
      <c r="C118" s="400"/>
      <c r="D118" s="400"/>
      <c r="E118" s="400"/>
      <c r="F118" s="400"/>
      <c r="G118" s="400"/>
      <c r="H118" s="400"/>
      <c r="I118" s="400"/>
      <c r="J118" s="400"/>
      <c r="K118" s="400"/>
      <c r="L118" s="400"/>
      <c r="M118" s="400"/>
      <c r="N118" s="400"/>
      <c r="O118" s="400"/>
      <c r="P118" s="400"/>
      <c r="Q118" s="400"/>
    </row>
    <row r="119" spans="1:33">
      <c r="B119" s="235"/>
      <c r="C119" s="236"/>
      <c r="D119" s="406" t="s">
        <v>352</v>
      </c>
      <c r="E119" s="406"/>
      <c r="F119" s="406"/>
      <c r="G119" s="406"/>
      <c r="H119" s="406"/>
      <c r="I119" s="406"/>
      <c r="J119" s="406"/>
      <c r="K119" s="406"/>
      <c r="L119" s="406"/>
      <c r="M119" s="406"/>
      <c r="N119" s="406"/>
      <c r="O119" s="406"/>
      <c r="P119" s="406"/>
      <c r="Q119" s="406"/>
    </row>
    <row r="120" spans="1:33">
      <c r="B120" s="237"/>
      <c r="C120" s="238"/>
      <c r="D120" s="419" t="s">
        <v>92</v>
      </c>
      <c r="E120" s="419"/>
      <c r="F120" s="419"/>
      <c r="G120" s="401" t="s">
        <v>37</v>
      </c>
      <c r="H120" s="401" t="s">
        <v>315</v>
      </c>
      <c r="I120" s="401" t="s">
        <v>78</v>
      </c>
      <c r="J120" s="401" t="s">
        <v>79</v>
      </c>
      <c r="K120" s="401" t="s">
        <v>28</v>
      </c>
      <c r="L120" s="401" t="s">
        <v>89</v>
      </c>
      <c r="M120" s="401" t="s">
        <v>77</v>
      </c>
      <c r="N120" s="401" t="s">
        <v>90</v>
      </c>
      <c r="O120" s="401" t="s">
        <v>91</v>
      </c>
      <c r="P120" s="401" t="s">
        <v>222</v>
      </c>
      <c r="Q120" s="401" t="s">
        <v>342</v>
      </c>
    </row>
    <row r="121" spans="1:33">
      <c r="A121" s="274"/>
      <c r="B121" s="36" t="s">
        <v>46</v>
      </c>
      <c r="C121" s="199" t="s">
        <v>232</v>
      </c>
      <c r="D121" s="275" t="s">
        <v>87</v>
      </c>
      <c r="E121" s="275" t="s">
        <v>88</v>
      </c>
      <c r="F121" s="275" t="s">
        <v>314</v>
      </c>
      <c r="G121" s="402"/>
      <c r="H121" s="402"/>
      <c r="I121" s="402"/>
      <c r="J121" s="402"/>
      <c r="K121" s="402"/>
      <c r="L121" s="402"/>
      <c r="M121" s="402"/>
      <c r="N121" s="402"/>
      <c r="O121" s="402"/>
      <c r="P121" s="402"/>
      <c r="Q121" s="402"/>
    </row>
    <row r="122" spans="1:33" ht="15.75">
      <c r="B122" s="273" t="s">
        <v>261</v>
      </c>
      <c r="C122" s="271" t="s">
        <v>225</v>
      </c>
      <c r="D122" s="276">
        <v>1.8E-3</v>
      </c>
      <c r="E122" s="276">
        <v>1.6000000000000001E-3</v>
      </c>
      <c r="F122" s="276">
        <v>1.1000000000000001E-3</v>
      </c>
      <c r="G122" s="276">
        <v>4.0000000000000002E-4</v>
      </c>
      <c r="H122" s="276">
        <v>2.1000000000000003E-3</v>
      </c>
      <c r="I122" s="276">
        <v>1.1999999999999999E-3</v>
      </c>
      <c r="J122" s="276">
        <v>1.1999999999999999E-3</v>
      </c>
      <c r="K122" s="276">
        <v>2E-3</v>
      </c>
      <c r="L122" s="276">
        <v>2.2000000000000003E-4</v>
      </c>
      <c r="M122" s="276">
        <v>2.2000000000000001E-3</v>
      </c>
      <c r="N122" s="276">
        <v>2.0999999999999998E-4</v>
      </c>
      <c r="O122" s="276">
        <v>2.3E-5</v>
      </c>
      <c r="P122" s="277" t="s">
        <v>580</v>
      </c>
      <c r="Q122" s="245" t="s">
        <v>530</v>
      </c>
      <c r="AG122" s="5" t="str">
        <f t="shared" ref="AG122:AG137" si="0">IF(R122&lt;&gt;"",R122*25,"")</f>
        <v/>
      </c>
    </row>
    <row r="123" spans="1:33" ht="15.75">
      <c r="B123" s="273" t="s">
        <v>262</v>
      </c>
      <c r="C123" s="271" t="s">
        <v>225</v>
      </c>
      <c r="D123" s="276">
        <v>1.9E-3</v>
      </c>
      <c r="E123" s="276">
        <v>1.6999999999999999E-3</v>
      </c>
      <c r="F123" s="276">
        <v>1.1999999999999999E-3</v>
      </c>
      <c r="G123" s="276">
        <v>1.9E-3</v>
      </c>
      <c r="H123" s="276">
        <v>2.7000000000000001E-3</v>
      </c>
      <c r="I123" s="276">
        <v>1.1999999999999999E-3</v>
      </c>
      <c r="J123" s="276">
        <v>1.1999999999999999E-3</v>
      </c>
      <c r="K123" s="276">
        <v>2E-3</v>
      </c>
      <c r="L123" s="276">
        <v>2.2000000000000003E-4</v>
      </c>
      <c r="M123" s="276">
        <v>2.2000000000000001E-3</v>
      </c>
      <c r="N123" s="276">
        <v>2.0999999999999998E-4</v>
      </c>
      <c r="O123" s="276">
        <v>2.3E-5</v>
      </c>
      <c r="P123" s="277" t="s">
        <v>580</v>
      </c>
      <c r="Q123" s="245" t="s">
        <v>530</v>
      </c>
      <c r="AG123" s="5" t="str">
        <f t="shared" si="0"/>
        <v/>
      </c>
    </row>
    <row r="124" spans="1:33" ht="15.75">
      <c r="B124" s="273" t="s">
        <v>264</v>
      </c>
      <c r="C124" s="271" t="s">
        <v>225</v>
      </c>
      <c r="D124" s="276">
        <v>1.8E-3</v>
      </c>
      <c r="E124" s="276">
        <v>1.6000000000000001E-3</v>
      </c>
      <c r="F124" s="276">
        <v>1.1000000000000001E-3</v>
      </c>
      <c r="G124" s="276">
        <v>5.0000000000000001E-4</v>
      </c>
      <c r="H124" s="276">
        <v>2.3999999999999998E-3</v>
      </c>
      <c r="I124" s="276">
        <v>1.1999999999999999E-3</v>
      </c>
      <c r="J124" s="276">
        <v>1.1999999999999999E-3</v>
      </c>
      <c r="K124" s="276">
        <v>2E-3</v>
      </c>
      <c r="L124" s="276">
        <v>2.2000000000000003E-4</v>
      </c>
      <c r="M124" s="276">
        <v>2.2000000000000001E-3</v>
      </c>
      <c r="N124" s="276">
        <v>2.0999999999999998E-4</v>
      </c>
      <c r="O124" s="276">
        <v>2.3E-5</v>
      </c>
      <c r="P124" s="277" t="s">
        <v>580</v>
      </c>
      <c r="Q124" s="245" t="s">
        <v>530</v>
      </c>
      <c r="AG124" s="5" t="str">
        <f t="shared" si="0"/>
        <v/>
      </c>
    </row>
    <row r="125" spans="1:33" ht="15.75">
      <c r="B125" s="273" t="s">
        <v>263</v>
      </c>
      <c r="C125" s="271" t="s">
        <v>225</v>
      </c>
      <c r="D125" s="276">
        <v>1.8E-3</v>
      </c>
      <c r="E125" s="276">
        <v>1.6000000000000001E-3</v>
      </c>
      <c r="F125" s="276">
        <v>1.1000000000000001E-3</v>
      </c>
      <c r="G125" s="276">
        <v>5.0000000000000001E-4</v>
      </c>
      <c r="H125" s="276">
        <v>2.1000000000000003E-3</v>
      </c>
      <c r="I125" s="276">
        <v>1.1999999999999999E-3</v>
      </c>
      <c r="J125" s="276">
        <v>1.1999999999999999E-3</v>
      </c>
      <c r="K125" s="276">
        <v>2E-3</v>
      </c>
      <c r="L125" s="276">
        <v>2.2000000000000003E-4</v>
      </c>
      <c r="M125" s="276">
        <v>2.2000000000000001E-3</v>
      </c>
      <c r="N125" s="276">
        <v>2.0999999999999998E-4</v>
      </c>
      <c r="O125" s="276">
        <v>2.3E-5</v>
      </c>
      <c r="P125" s="277" t="s">
        <v>580</v>
      </c>
      <c r="Q125" s="245" t="s">
        <v>530</v>
      </c>
      <c r="AG125" s="5" t="str">
        <f t="shared" si="0"/>
        <v/>
      </c>
    </row>
    <row r="126" spans="1:33" ht="15.75">
      <c r="B126" s="273" t="s">
        <v>265</v>
      </c>
      <c r="C126" s="271" t="s">
        <v>225</v>
      </c>
      <c r="D126" s="276">
        <v>1.2999999999999999E-3</v>
      </c>
      <c r="E126" s="276">
        <v>1.1999999999999999E-3</v>
      </c>
      <c r="F126" s="276">
        <v>8.0000000000000004E-4</v>
      </c>
      <c r="G126" s="276">
        <v>6.9999999999999988E-4</v>
      </c>
      <c r="H126" s="276">
        <v>1.6000000000000001E-3</v>
      </c>
      <c r="I126" s="276">
        <v>8.9999999999999998E-4</v>
      </c>
      <c r="J126" s="276">
        <v>8.9999999999999998E-4</v>
      </c>
      <c r="K126" s="276">
        <v>1E-3</v>
      </c>
      <c r="L126" s="276">
        <v>1.7000000000000001E-4</v>
      </c>
      <c r="M126" s="276">
        <v>1.6000000000000001E-3</v>
      </c>
      <c r="N126" s="276">
        <v>1.6000000000000001E-4</v>
      </c>
      <c r="O126" s="276">
        <v>1.7999999999999997E-5</v>
      </c>
      <c r="P126" s="277" t="s">
        <v>580</v>
      </c>
      <c r="Q126" s="245" t="s">
        <v>530</v>
      </c>
      <c r="AG126" s="5" t="str">
        <f t="shared" si="0"/>
        <v/>
      </c>
    </row>
    <row r="127" spans="1:33" ht="15.75">
      <c r="B127" s="273" t="s">
        <v>266</v>
      </c>
      <c r="C127" s="271" t="s">
        <v>225</v>
      </c>
      <c r="D127" s="276">
        <v>1.6999999999999999E-3</v>
      </c>
      <c r="E127" s="276">
        <v>1.5E-3</v>
      </c>
      <c r="F127" s="276">
        <v>1E-3</v>
      </c>
      <c r="G127" s="276">
        <v>1.1000000000000001E-3</v>
      </c>
      <c r="H127" s="276">
        <v>2.1000000000000003E-3</v>
      </c>
      <c r="I127" s="276">
        <v>1.1999999999999999E-3</v>
      </c>
      <c r="J127" s="276">
        <v>1.1999999999999999E-3</v>
      </c>
      <c r="K127" s="276">
        <v>2E-3</v>
      </c>
      <c r="L127" s="276">
        <v>2.2000000000000003E-4</v>
      </c>
      <c r="M127" s="276">
        <v>2.2000000000000001E-3</v>
      </c>
      <c r="N127" s="276">
        <v>2.0999999999999998E-4</v>
      </c>
      <c r="O127" s="276">
        <v>2.3E-5</v>
      </c>
      <c r="P127" s="277" t="s">
        <v>580</v>
      </c>
      <c r="Q127" s="245" t="s">
        <v>530</v>
      </c>
      <c r="AG127" s="5" t="str">
        <f t="shared" si="0"/>
        <v/>
      </c>
    </row>
    <row r="128" spans="1:33" ht="15.75">
      <c r="B128" s="273" t="s">
        <v>267</v>
      </c>
      <c r="C128" s="271" t="s">
        <v>225</v>
      </c>
      <c r="D128" s="278">
        <v>3.2000000000000002E-3</v>
      </c>
      <c r="E128" s="278">
        <v>2.7999999999999995E-3</v>
      </c>
      <c r="F128" s="278">
        <v>1.9E-3</v>
      </c>
      <c r="G128" s="278">
        <v>8.8000000000000005E-3</v>
      </c>
      <c r="H128" s="278">
        <v>1.3999999999999998E-3</v>
      </c>
      <c r="I128" s="278">
        <v>8.9999999999999998E-4</v>
      </c>
      <c r="J128" s="278">
        <v>8.9999999999999998E-4</v>
      </c>
      <c r="K128" s="278">
        <v>1E-3</v>
      </c>
      <c r="L128" s="278">
        <v>1.7000000000000001E-4</v>
      </c>
      <c r="M128" s="278">
        <v>1.6000000000000001E-3</v>
      </c>
      <c r="N128" s="278">
        <v>1.6000000000000001E-4</v>
      </c>
      <c r="O128" s="278">
        <v>1.7999999999999997E-5</v>
      </c>
      <c r="P128" s="277" t="s">
        <v>580</v>
      </c>
      <c r="Q128" s="245" t="s">
        <v>530</v>
      </c>
      <c r="AG128" s="5" t="str">
        <f t="shared" si="0"/>
        <v/>
      </c>
    </row>
    <row r="129" spans="2:33" ht="15.75">
      <c r="B129" s="273" t="s">
        <v>310</v>
      </c>
      <c r="C129" s="271" t="s">
        <v>312</v>
      </c>
      <c r="D129" s="276">
        <v>1.3999999999999998E-3</v>
      </c>
      <c r="E129" s="276">
        <v>1.2999999999999999E-3</v>
      </c>
      <c r="F129" s="276">
        <v>8.9999999999999998E-4</v>
      </c>
      <c r="G129" s="276">
        <v>2.1000000000000003E-3</v>
      </c>
      <c r="H129" s="276">
        <v>1.8E-3</v>
      </c>
      <c r="I129" s="276">
        <v>8.9999999999999998E-4</v>
      </c>
      <c r="J129" s="276">
        <v>8.9999999999999998E-4</v>
      </c>
      <c r="K129" s="276">
        <v>1E-3</v>
      </c>
      <c r="L129" s="276">
        <v>1.7000000000000001E-4</v>
      </c>
      <c r="M129" s="276">
        <v>1.6000000000000001E-3</v>
      </c>
      <c r="N129" s="276">
        <v>1.6000000000000001E-4</v>
      </c>
      <c r="O129" s="276">
        <v>1.7999999999999997E-5</v>
      </c>
      <c r="P129" s="277" t="s">
        <v>580</v>
      </c>
      <c r="Q129" s="245" t="s">
        <v>530</v>
      </c>
      <c r="AG129" s="5" t="str">
        <f t="shared" si="0"/>
        <v/>
      </c>
    </row>
    <row r="130" spans="2:33" ht="15.75">
      <c r="B130" s="273" t="s">
        <v>310</v>
      </c>
      <c r="C130" s="271" t="s">
        <v>313</v>
      </c>
      <c r="D130" s="279" t="s">
        <v>429</v>
      </c>
      <c r="E130" s="279" t="s">
        <v>429</v>
      </c>
      <c r="F130" s="279" t="s">
        <v>429</v>
      </c>
      <c r="G130" s="276">
        <v>5.9000000000000007E-3</v>
      </c>
      <c r="H130" s="279" t="s">
        <v>429</v>
      </c>
      <c r="I130" s="279" t="s">
        <v>429</v>
      </c>
      <c r="J130" s="279" t="s">
        <v>429</v>
      </c>
      <c r="K130" s="279" t="s">
        <v>429</v>
      </c>
      <c r="L130" s="279" t="s">
        <v>429</v>
      </c>
      <c r="M130" s="279" t="s">
        <v>429</v>
      </c>
      <c r="N130" s="279" t="s">
        <v>429</v>
      </c>
      <c r="O130" s="279" t="s">
        <v>429</v>
      </c>
      <c r="P130" s="277" t="s">
        <v>580</v>
      </c>
      <c r="Q130" s="245" t="s">
        <v>530</v>
      </c>
      <c r="AG130" s="5" t="str">
        <f t="shared" si="0"/>
        <v/>
      </c>
    </row>
    <row r="131" spans="2:33" ht="15.75">
      <c r="B131" s="273" t="s">
        <v>269</v>
      </c>
      <c r="C131" s="271" t="s">
        <v>312</v>
      </c>
      <c r="D131" s="276">
        <v>1.3999999999999998E-3</v>
      </c>
      <c r="E131" s="276">
        <v>1.1999999999999999E-3</v>
      </c>
      <c r="F131" s="276">
        <v>8.0000000000000004E-4</v>
      </c>
      <c r="G131" s="276">
        <v>1.9E-3</v>
      </c>
      <c r="H131" s="276">
        <v>1.6000000000000001E-3</v>
      </c>
      <c r="I131" s="276">
        <v>8.9999999999999998E-4</v>
      </c>
      <c r="J131" s="276">
        <v>8.9999999999999998E-4</v>
      </c>
      <c r="K131" s="276">
        <v>1E-3</v>
      </c>
      <c r="L131" s="276">
        <v>1.7000000000000001E-4</v>
      </c>
      <c r="M131" s="276">
        <v>1.6000000000000001E-3</v>
      </c>
      <c r="N131" s="276">
        <v>1.6000000000000001E-4</v>
      </c>
      <c r="O131" s="276">
        <v>1.7999999999999997E-5</v>
      </c>
      <c r="P131" s="277" t="s">
        <v>580</v>
      </c>
      <c r="Q131" s="245" t="s">
        <v>530</v>
      </c>
      <c r="AG131" s="5" t="str">
        <f t="shared" si="0"/>
        <v/>
      </c>
    </row>
    <row r="132" spans="2:33" ht="15.75">
      <c r="B132" s="273" t="s">
        <v>269</v>
      </c>
      <c r="C132" s="271" t="s">
        <v>313</v>
      </c>
      <c r="D132" s="279" t="s">
        <v>429</v>
      </c>
      <c r="E132" s="279" t="s">
        <v>429</v>
      </c>
      <c r="F132" s="279" t="s">
        <v>429</v>
      </c>
      <c r="G132" s="278">
        <v>7.7000000000000002E-3</v>
      </c>
      <c r="H132" s="279" t="s">
        <v>429</v>
      </c>
      <c r="I132" s="279" t="s">
        <v>429</v>
      </c>
      <c r="J132" s="279" t="s">
        <v>429</v>
      </c>
      <c r="K132" s="279" t="s">
        <v>429</v>
      </c>
      <c r="L132" s="279" t="s">
        <v>429</v>
      </c>
      <c r="M132" s="279" t="s">
        <v>429</v>
      </c>
      <c r="N132" s="279" t="s">
        <v>429</v>
      </c>
      <c r="O132" s="279" t="s">
        <v>429</v>
      </c>
      <c r="P132" s="277" t="s">
        <v>580</v>
      </c>
      <c r="Q132" s="245" t="s">
        <v>530</v>
      </c>
      <c r="AG132" s="5" t="str">
        <f t="shared" si="0"/>
        <v/>
      </c>
    </row>
    <row r="133" spans="2:33" ht="15.75">
      <c r="B133" s="273" t="s">
        <v>270</v>
      </c>
      <c r="C133" s="271" t="s">
        <v>225</v>
      </c>
      <c r="D133" s="276">
        <v>1.6999999999999999E-3</v>
      </c>
      <c r="E133" s="276">
        <v>1.5E-3</v>
      </c>
      <c r="F133" s="276">
        <v>1E-3</v>
      </c>
      <c r="G133" s="276">
        <v>8.9999999999999998E-4</v>
      </c>
      <c r="H133" s="276">
        <v>2.1000000000000003E-3</v>
      </c>
      <c r="I133" s="276">
        <v>1.1999999999999999E-3</v>
      </c>
      <c r="J133" s="276">
        <v>1.1999999999999999E-3</v>
      </c>
      <c r="K133" s="276">
        <v>2E-3</v>
      </c>
      <c r="L133" s="276">
        <v>2.2000000000000003E-4</v>
      </c>
      <c r="M133" s="276">
        <v>2.2000000000000001E-3</v>
      </c>
      <c r="N133" s="276">
        <v>2.0999999999999998E-4</v>
      </c>
      <c r="O133" s="276">
        <v>2.3E-5</v>
      </c>
      <c r="P133" s="277" t="s">
        <v>580</v>
      </c>
      <c r="Q133" s="245" t="s">
        <v>530</v>
      </c>
      <c r="AG133" s="5" t="str">
        <f t="shared" si="0"/>
        <v/>
      </c>
    </row>
    <row r="134" spans="2:33" ht="15.75">
      <c r="B134" s="273" t="s">
        <v>311</v>
      </c>
      <c r="C134" s="271" t="s">
        <v>312</v>
      </c>
      <c r="D134" s="276">
        <v>1.2999999999999999E-3</v>
      </c>
      <c r="E134" s="276">
        <v>1.1999999999999999E-3</v>
      </c>
      <c r="F134" s="276">
        <v>8.0000000000000004E-4</v>
      </c>
      <c r="G134" s="276">
        <v>3.3E-3</v>
      </c>
      <c r="H134" s="276">
        <v>1.6000000000000001E-3</v>
      </c>
      <c r="I134" s="276">
        <v>8.9999999999999998E-4</v>
      </c>
      <c r="J134" s="276">
        <v>8.9999999999999998E-4</v>
      </c>
      <c r="K134" s="276">
        <v>1E-3</v>
      </c>
      <c r="L134" s="276">
        <v>1.7000000000000001E-4</v>
      </c>
      <c r="M134" s="276">
        <v>1.6000000000000001E-3</v>
      </c>
      <c r="N134" s="276">
        <v>1.6000000000000001E-4</v>
      </c>
      <c r="O134" s="276">
        <v>1.7999999999999997E-5</v>
      </c>
      <c r="P134" s="277" t="s">
        <v>580</v>
      </c>
      <c r="Q134" s="245" t="s">
        <v>530</v>
      </c>
      <c r="AG134" s="5" t="str">
        <f t="shared" si="0"/>
        <v/>
      </c>
    </row>
    <row r="135" spans="2:33" ht="15.75">
      <c r="B135" s="273" t="s">
        <v>311</v>
      </c>
      <c r="C135" s="271" t="s">
        <v>313</v>
      </c>
      <c r="D135" s="279" t="s">
        <v>429</v>
      </c>
      <c r="E135" s="279" t="s">
        <v>429</v>
      </c>
      <c r="F135" s="279" t="s">
        <v>429</v>
      </c>
      <c r="G135" s="276">
        <v>8.5000000000000006E-3</v>
      </c>
      <c r="H135" s="279" t="s">
        <v>429</v>
      </c>
      <c r="I135" s="279" t="s">
        <v>429</v>
      </c>
      <c r="J135" s="279" t="s">
        <v>429</v>
      </c>
      <c r="K135" s="279" t="s">
        <v>429</v>
      </c>
      <c r="L135" s="279" t="s">
        <v>429</v>
      </c>
      <c r="M135" s="279" t="s">
        <v>429</v>
      </c>
      <c r="N135" s="279" t="s">
        <v>429</v>
      </c>
      <c r="O135" s="279" t="s">
        <v>429</v>
      </c>
      <c r="P135" s="277" t="s">
        <v>580</v>
      </c>
      <c r="Q135" s="245" t="s">
        <v>530</v>
      </c>
      <c r="AG135" s="5" t="str">
        <f t="shared" si="0"/>
        <v/>
      </c>
    </row>
    <row r="136" spans="2:33" ht="15.75">
      <c r="B136" s="273" t="s">
        <v>272</v>
      </c>
      <c r="C136" s="271" t="s">
        <v>312</v>
      </c>
      <c r="D136" s="276">
        <v>1.2999999999999999E-3</v>
      </c>
      <c r="E136" s="276">
        <v>1.1999999999999999E-3</v>
      </c>
      <c r="F136" s="276">
        <v>8.0000000000000004E-4</v>
      </c>
      <c r="G136" s="276">
        <v>2.7000000000000001E-3</v>
      </c>
      <c r="H136" s="276">
        <v>1.9E-3</v>
      </c>
      <c r="I136" s="276">
        <v>8.9999999999999998E-4</v>
      </c>
      <c r="J136" s="276">
        <v>8.9999999999999998E-4</v>
      </c>
      <c r="K136" s="276">
        <v>1E-3</v>
      </c>
      <c r="L136" s="276">
        <v>1.7000000000000001E-4</v>
      </c>
      <c r="M136" s="276">
        <v>1.6000000000000001E-3</v>
      </c>
      <c r="N136" s="276">
        <v>1.6000000000000001E-4</v>
      </c>
      <c r="O136" s="276">
        <v>1.7999999999999997E-5</v>
      </c>
      <c r="P136" s="277" t="s">
        <v>580</v>
      </c>
      <c r="Q136" s="245" t="s">
        <v>530</v>
      </c>
      <c r="AG136" s="5" t="str">
        <f t="shared" si="0"/>
        <v/>
      </c>
    </row>
    <row r="137" spans="2:33" ht="15.75">
      <c r="B137" s="273" t="s">
        <v>272</v>
      </c>
      <c r="C137" s="271" t="s">
        <v>313</v>
      </c>
      <c r="D137" s="279" t="s">
        <v>429</v>
      </c>
      <c r="E137" s="279" t="s">
        <v>429</v>
      </c>
      <c r="F137" s="279" t="s">
        <v>429</v>
      </c>
      <c r="G137" s="276">
        <v>9.6999999999999986E-3</v>
      </c>
      <c r="H137" s="279" t="s">
        <v>429</v>
      </c>
      <c r="I137" s="279" t="s">
        <v>429</v>
      </c>
      <c r="J137" s="279" t="s">
        <v>429</v>
      </c>
      <c r="K137" s="279" t="s">
        <v>429</v>
      </c>
      <c r="L137" s="279" t="s">
        <v>429</v>
      </c>
      <c r="M137" s="279" t="s">
        <v>429</v>
      </c>
      <c r="N137" s="279" t="s">
        <v>429</v>
      </c>
      <c r="O137" s="279" t="s">
        <v>429</v>
      </c>
      <c r="P137" s="277" t="s">
        <v>580</v>
      </c>
      <c r="Q137" s="245" t="s">
        <v>530</v>
      </c>
      <c r="AG137" s="5" t="str">
        <f t="shared" si="0"/>
        <v/>
      </c>
    </row>
    <row r="138" spans="2:33" ht="15.75">
      <c r="B138" s="270" t="s">
        <v>271</v>
      </c>
      <c r="C138" s="271" t="s">
        <v>312</v>
      </c>
      <c r="D138" s="276">
        <v>1.5E-3</v>
      </c>
      <c r="E138" s="276">
        <v>1.3999999999999998E-3</v>
      </c>
      <c r="F138" s="276">
        <v>8.9999999999999998E-4</v>
      </c>
      <c r="G138" s="276">
        <v>2.5000000000000001E-3</v>
      </c>
      <c r="H138" s="276">
        <v>1.8E-3</v>
      </c>
      <c r="I138" s="276">
        <v>8.9999999999999998E-4</v>
      </c>
      <c r="J138" s="276">
        <v>8.9999999999999998E-4</v>
      </c>
      <c r="K138" s="276">
        <v>1E-3</v>
      </c>
      <c r="L138" s="276">
        <v>1.7000000000000001E-4</v>
      </c>
      <c r="M138" s="276">
        <v>1.6000000000000001E-3</v>
      </c>
      <c r="N138" s="276">
        <v>1.6000000000000001E-4</v>
      </c>
      <c r="O138" s="276">
        <v>1.17E-4</v>
      </c>
      <c r="P138" s="277" t="s">
        <v>580</v>
      </c>
      <c r="Q138" s="245" t="s">
        <v>530</v>
      </c>
      <c r="AG138" s="5" t="str">
        <f t="shared" ref="AG138:AG157" si="1">IF(R138&lt;&gt;"",R138*25,"")</f>
        <v/>
      </c>
    </row>
    <row r="139" spans="2:33" ht="15.75">
      <c r="B139" s="270" t="s">
        <v>271</v>
      </c>
      <c r="C139" s="271" t="s">
        <v>313</v>
      </c>
      <c r="D139" s="279" t="s">
        <v>429</v>
      </c>
      <c r="E139" s="279" t="s">
        <v>429</v>
      </c>
      <c r="F139" s="279" t="s">
        <v>429</v>
      </c>
      <c r="G139" s="276">
        <v>8.6E-3</v>
      </c>
      <c r="H139" s="279" t="s">
        <v>429</v>
      </c>
      <c r="I139" s="279" t="s">
        <v>429</v>
      </c>
      <c r="J139" s="279" t="s">
        <v>429</v>
      </c>
      <c r="K139" s="279" t="s">
        <v>429</v>
      </c>
      <c r="L139" s="279" t="s">
        <v>429</v>
      </c>
      <c r="M139" s="279" t="s">
        <v>429</v>
      </c>
      <c r="N139" s="279" t="s">
        <v>429</v>
      </c>
      <c r="O139" s="279" t="s">
        <v>429</v>
      </c>
      <c r="P139" s="277" t="s">
        <v>580</v>
      </c>
      <c r="Q139" s="245" t="s">
        <v>530</v>
      </c>
      <c r="AG139" s="5" t="str">
        <f t="shared" si="1"/>
        <v/>
      </c>
    </row>
    <row r="140" spans="2:33" ht="15.75">
      <c r="B140" s="270" t="s">
        <v>273</v>
      </c>
      <c r="C140" s="271" t="s">
        <v>225</v>
      </c>
      <c r="D140" s="276">
        <v>1.8E-3</v>
      </c>
      <c r="E140" s="276">
        <v>1.6000000000000001E-3</v>
      </c>
      <c r="F140" s="276">
        <v>1.1000000000000001E-3</v>
      </c>
      <c r="G140" s="276">
        <v>5.0000000000000001E-4</v>
      </c>
      <c r="H140" s="276">
        <v>2.1000000000000003E-3</v>
      </c>
      <c r="I140" s="276">
        <v>1.1999999999999999E-3</v>
      </c>
      <c r="J140" s="276">
        <v>1.1999999999999999E-3</v>
      </c>
      <c r="K140" s="276">
        <v>2E-3</v>
      </c>
      <c r="L140" s="276">
        <v>2.2000000000000003E-4</v>
      </c>
      <c r="M140" s="276">
        <v>2.2000000000000001E-3</v>
      </c>
      <c r="N140" s="276">
        <v>2.0999999999999998E-4</v>
      </c>
      <c r="O140" s="276">
        <v>2.3E-5</v>
      </c>
      <c r="P140" s="277" t="s">
        <v>580</v>
      </c>
      <c r="Q140" s="245" t="s">
        <v>530</v>
      </c>
      <c r="AG140" s="5" t="str">
        <f t="shared" si="1"/>
        <v/>
      </c>
    </row>
    <row r="141" spans="2:33" ht="15.75">
      <c r="B141" s="270" t="s">
        <v>274</v>
      </c>
      <c r="C141" s="271" t="s">
        <v>225</v>
      </c>
      <c r="D141" s="276">
        <v>1.6999999999999999E-3</v>
      </c>
      <c r="E141" s="276">
        <v>1.5E-3</v>
      </c>
      <c r="F141" s="276">
        <v>1.1000000000000001E-3</v>
      </c>
      <c r="G141" s="276">
        <v>8.0000000000000004E-4</v>
      </c>
      <c r="H141" s="276">
        <v>2.2000000000000001E-3</v>
      </c>
      <c r="I141" s="276">
        <v>1.1999999999999999E-3</v>
      </c>
      <c r="J141" s="276">
        <v>1.1999999999999999E-3</v>
      </c>
      <c r="K141" s="276">
        <v>2E-3</v>
      </c>
      <c r="L141" s="276">
        <v>2.2000000000000003E-4</v>
      </c>
      <c r="M141" s="276">
        <v>2.2000000000000001E-3</v>
      </c>
      <c r="N141" s="276">
        <v>2.0999999999999998E-4</v>
      </c>
      <c r="O141" s="276">
        <v>2.3E-5</v>
      </c>
      <c r="P141" s="277" t="s">
        <v>580</v>
      </c>
      <c r="Q141" s="245" t="s">
        <v>530</v>
      </c>
      <c r="AG141" s="5" t="str">
        <f t="shared" si="1"/>
        <v/>
      </c>
    </row>
    <row r="142" spans="2:33" ht="15.75">
      <c r="B142" s="273" t="s">
        <v>277</v>
      </c>
      <c r="C142" s="271" t="s">
        <v>312</v>
      </c>
      <c r="D142" s="276">
        <v>1.6000000000000001E-3</v>
      </c>
      <c r="E142" s="276">
        <v>1.5E-3</v>
      </c>
      <c r="F142" s="276">
        <v>1E-3</v>
      </c>
      <c r="G142" s="276">
        <v>3.5999999999999999E-3</v>
      </c>
      <c r="H142" s="276">
        <v>2.3999999999999998E-3</v>
      </c>
      <c r="I142" s="276">
        <v>8.9999999999999998E-4</v>
      </c>
      <c r="J142" s="276">
        <v>8.9999999999999998E-4</v>
      </c>
      <c r="K142" s="276">
        <v>1E-3</v>
      </c>
      <c r="L142" s="276">
        <v>1.7000000000000001E-4</v>
      </c>
      <c r="M142" s="276">
        <v>1.6000000000000001E-3</v>
      </c>
      <c r="N142" s="276">
        <v>1.6000000000000001E-4</v>
      </c>
      <c r="O142" s="276">
        <v>1.17E-4</v>
      </c>
      <c r="P142" s="277" t="s">
        <v>580</v>
      </c>
      <c r="Q142" s="245" t="s">
        <v>530</v>
      </c>
      <c r="AG142" s="5" t="str">
        <f t="shared" si="1"/>
        <v/>
      </c>
    </row>
    <row r="143" spans="2:33" ht="15.75">
      <c r="B143" s="270" t="s">
        <v>277</v>
      </c>
      <c r="C143" s="271" t="s">
        <v>313</v>
      </c>
      <c r="D143" s="279" t="s">
        <v>429</v>
      </c>
      <c r="E143" s="279" t="s">
        <v>429</v>
      </c>
      <c r="F143" s="279" t="s">
        <v>429</v>
      </c>
      <c r="G143" s="276">
        <v>6.0000000000000001E-3</v>
      </c>
      <c r="H143" s="279" t="s">
        <v>429</v>
      </c>
      <c r="I143" s="279" t="s">
        <v>429</v>
      </c>
      <c r="J143" s="279" t="s">
        <v>429</v>
      </c>
      <c r="K143" s="279" t="s">
        <v>429</v>
      </c>
      <c r="L143" s="279" t="s">
        <v>429</v>
      </c>
      <c r="M143" s="279" t="s">
        <v>429</v>
      </c>
      <c r="N143" s="279" t="s">
        <v>429</v>
      </c>
      <c r="O143" s="279" t="s">
        <v>429</v>
      </c>
      <c r="P143" s="277" t="s">
        <v>580</v>
      </c>
      <c r="Q143" s="245" t="s">
        <v>530</v>
      </c>
      <c r="AG143" s="5" t="str">
        <f t="shared" si="1"/>
        <v/>
      </c>
    </row>
    <row r="144" spans="2:33" ht="15.75">
      <c r="B144" s="270" t="s">
        <v>275</v>
      </c>
      <c r="C144" s="271" t="s">
        <v>225</v>
      </c>
      <c r="D144" s="276">
        <v>1.6999999999999999E-3</v>
      </c>
      <c r="E144" s="276">
        <v>1.5E-3</v>
      </c>
      <c r="F144" s="276">
        <v>1E-3</v>
      </c>
      <c r="G144" s="276">
        <v>6.9999999999999988E-4</v>
      </c>
      <c r="H144" s="276">
        <v>2.1000000000000003E-3</v>
      </c>
      <c r="I144" s="276">
        <v>1.1999999999999999E-3</v>
      </c>
      <c r="J144" s="276">
        <v>1.1999999999999999E-3</v>
      </c>
      <c r="K144" s="276">
        <v>2E-3</v>
      </c>
      <c r="L144" s="276">
        <v>2.2000000000000003E-4</v>
      </c>
      <c r="M144" s="276">
        <v>2.2000000000000001E-3</v>
      </c>
      <c r="N144" s="276">
        <v>2.0999999999999998E-4</v>
      </c>
      <c r="O144" s="276">
        <v>2.3E-5</v>
      </c>
      <c r="P144" s="277" t="s">
        <v>580</v>
      </c>
      <c r="Q144" s="245" t="s">
        <v>530</v>
      </c>
      <c r="AG144" s="5" t="str">
        <f t="shared" si="1"/>
        <v/>
      </c>
    </row>
    <row r="145" spans="1:33" ht="15.75">
      <c r="B145" s="270" t="s">
        <v>276</v>
      </c>
      <c r="C145" s="271" t="s">
        <v>225</v>
      </c>
      <c r="D145" s="276">
        <v>1.6999999999999999E-3</v>
      </c>
      <c r="E145" s="276">
        <v>1.5E-3</v>
      </c>
      <c r="F145" s="276">
        <v>1.1000000000000001E-3</v>
      </c>
      <c r="G145" s="276">
        <v>5.9999999999999995E-4</v>
      </c>
      <c r="H145" s="276">
        <v>2.1000000000000003E-3</v>
      </c>
      <c r="I145" s="276">
        <v>1.1999999999999999E-3</v>
      </c>
      <c r="J145" s="276">
        <v>1.1999999999999999E-3</v>
      </c>
      <c r="K145" s="276">
        <v>2E-3</v>
      </c>
      <c r="L145" s="276">
        <v>2.2000000000000003E-4</v>
      </c>
      <c r="M145" s="276">
        <v>2.2000000000000001E-3</v>
      </c>
      <c r="N145" s="276">
        <v>2.0999999999999998E-4</v>
      </c>
      <c r="O145" s="276">
        <v>2.3E-5</v>
      </c>
      <c r="P145" s="277" t="s">
        <v>580</v>
      </c>
      <c r="Q145" s="245" t="s">
        <v>530</v>
      </c>
      <c r="AG145" s="5" t="str">
        <f t="shared" si="1"/>
        <v/>
      </c>
    </row>
    <row r="146" spans="1:33" ht="15.75">
      <c r="B146" s="270" t="s">
        <v>278</v>
      </c>
      <c r="C146" s="271" t="s">
        <v>225</v>
      </c>
      <c r="D146" s="276">
        <v>1.5E-3</v>
      </c>
      <c r="E146" s="276">
        <v>1.2999999999999999E-3</v>
      </c>
      <c r="F146" s="276">
        <v>8.9999999999999998E-4</v>
      </c>
      <c r="G146" s="276">
        <v>5.9000000000000007E-3</v>
      </c>
      <c r="H146" s="276">
        <v>1.6000000000000001E-3</v>
      </c>
      <c r="I146" s="276">
        <v>8.9999999999999998E-4</v>
      </c>
      <c r="J146" s="276">
        <v>8.9999999999999998E-4</v>
      </c>
      <c r="K146" s="276">
        <v>1E-3</v>
      </c>
      <c r="L146" s="276">
        <v>1.7000000000000001E-4</v>
      </c>
      <c r="M146" s="276">
        <v>1.6000000000000001E-3</v>
      </c>
      <c r="N146" s="276">
        <v>1.6000000000000001E-4</v>
      </c>
      <c r="O146" s="276">
        <v>1.17E-4</v>
      </c>
      <c r="P146" s="277" t="s">
        <v>580</v>
      </c>
      <c r="Q146" s="245" t="s">
        <v>530</v>
      </c>
      <c r="AG146" s="5" t="str">
        <f t="shared" si="1"/>
        <v/>
      </c>
    </row>
    <row r="147" spans="1:33" ht="15.75">
      <c r="B147" s="270" t="s">
        <v>279</v>
      </c>
      <c r="C147" s="271" t="s">
        <v>225</v>
      </c>
      <c r="D147" s="276">
        <v>1.6999999999999999E-3</v>
      </c>
      <c r="E147" s="276">
        <v>1.5E-3</v>
      </c>
      <c r="F147" s="276">
        <v>1.1000000000000001E-3</v>
      </c>
      <c r="G147" s="276">
        <v>8.0000000000000004E-4</v>
      </c>
      <c r="H147" s="276">
        <v>2.1000000000000003E-3</v>
      </c>
      <c r="I147" s="276">
        <v>1.1999999999999999E-3</v>
      </c>
      <c r="J147" s="276">
        <v>1.1999999999999999E-3</v>
      </c>
      <c r="K147" s="276">
        <v>2E-3</v>
      </c>
      <c r="L147" s="276">
        <v>2.2000000000000003E-4</v>
      </c>
      <c r="M147" s="276">
        <v>2.2000000000000001E-3</v>
      </c>
      <c r="N147" s="276">
        <v>2.0999999999999998E-4</v>
      </c>
      <c r="O147" s="276">
        <v>2.3E-5</v>
      </c>
      <c r="P147" s="277" t="s">
        <v>580</v>
      </c>
      <c r="Q147" s="245" t="s">
        <v>530</v>
      </c>
      <c r="AG147" s="5" t="str">
        <f t="shared" si="1"/>
        <v/>
      </c>
    </row>
    <row r="148" spans="1:33" ht="15.75">
      <c r="B148" s="270" t="s">
        <v>282</v>
      </c>
      <c r="C148" s="271" t="s">
        <v>312</v>
      </c>
      <c r="D148" s="276">
        <v>1.5E-3</v>
      </c>
      <c r="E148" s="276">
        <v>1.2999999999999999E-3</v>
      </c>
      <c r="F148" s="276">
        <v>8.9999999999999998E-4</v>
      </c>
      <c r="G148" s="276">
        <v>3.8999999999999994E-3</v>
      </c>
      <c r="H148" s="276">
        <v>2E-3</v>
      </c>
      <c r="I148" s="276">
        <v>8.9999999999999998E-4</v>
      </c>
      <c r="J148" s="276">
        <v>8.9999999999999998E-4</v>
      </c>
      <c r="K148" s="276">
        <v>1E-3</v>
      </c>
      <c r="L148" s="276">
        <v>1.7000000000000001E-4</v>
      </c>
      <c r="M148" s="276">
        <v>1.6000000000000001E-3</v>
      </c>
      <c r="N148" s="276">
        <v>1.6000000000000001E-4</v>
      </c>
      <c r="O148" s="276">
        <v>1.17E-4</v>
      </c>
      <c r="P148" s="277" t="s">
        <v>580</v>
      </c>
      <c r="Q148" s="245" t="s">
        <v>530</v>
      </c>
      <c r="AG148" s="5" t="str">
        <f t="shared" si="1"/>
        <v/>
      </c>
    </row>
    <row r="149" spans="1:33" ht="15.75">
      <c r="B149" s="270" t="s">
        <v>282</v>
      </c>
      <c r="C149" s="271" t="s">
        <v>313</v>
      </c>
      <c r="D149" s="279" t="s">
        <v>429</v>
      </c>
      <c r="E149" s="279" t="s">
        <v>429</v>
      </c>
      <c r="F149" s="279" t="s">
        <v>429</v>
      </c>
      <c r="G149" s="276">
        <v>0.01</v>
      </c>
      <c r="H149" s="279" t="s">
        <v>429</v>
      </c>
      <c r="I149" s="279" t="s">
        <v>429</v>
      </c>
      <c r="J149" s="279" t="s">
        <v>429</v>
      </c>
      <c r="K149" s="279" t="s">
        <v>429</v>
      </c>
      <c r="L149" s="279" t="s">
        <v>429</v>
      </c>
      <c r="M149" s="279" t="s">
        <v>429</v>
      </c>
      <c r="N149" s="279" t="s">
        <v>429</v>
      </c>
      <c r="O149" s="279" t="s">
        <v>429</v>
      </c>
      <c r="P149" s="277" t="s">
        <v>580</v>
      </c>
      <c r="Q149" s="245" t="s">
        <v>530</v>
      </c>
      <c r="AG149" s="5" t="str">
        <f t="shared" si="1"/>
        <v/>
      </c>
    </row>
    <row r="150" spans="1:33" ht="15.75">
      <c r="B150" s="270" t="s">
        <v>280</v>
      </c>
      <c r="C150" s="271" t="s">
        <v>225</v>
      </c>
      <c r="D150" s="276">
        <v>1.8E-3</v>
      </c>
      <c r="E150" s="276">
        <v>1.6000000000000001E-3</v>
      </c>
      <c r="F150" s="276">
        <v>1.1000000000000001E-3</v>
      </c>
      <c r="G150" s="276">
        <v>5.9999999999999995E-4</v>
      </c>
      <c r="H150" s="276">
        <v>2.2000000000000001E-3</v>
      </c>
      <c r="I150" s="276">
        <v>1.1999999999999999E-3</v>
      </c>
      <c r="J150" s="276">
        <v>1.1999999999999999E-3</v>
      </c>
      <c r="K150" s="276">
        <v>2E-3</v>
      </c>
      <c r="L150" s="276">
        <v>2.2000000000000003E-4</v>
      </c>
      <c r="M150" s="276">
        <v>2.2000000000000001E-3</v>
      </c>
      <c r="N150" s="276">
        <v>2.0999999999999998E-4</v>
      </c>
      <c r="O150" s="276">
        <v>2.3E-5</v>
      </c>
      <c r="P150" s="277" t="s">
        <v>580</v>
      </c>
      <c r="Q150" s="245" t="s">
        <v>530</v>
      </c>
      <c r="AG150" s="5" t="str">
        <f t="shared" si="1"/>
        <v/>
      </c>
    </row>
    <row r="151" spans="1:33" ht="15.75">
      <c r="B151" s="270" t="s">
        <v>281</v>
      </c>
      <c r="C151" s="271" t="s">
        <v>225</v>
      </c>
      <c r="D151" s="276">
        <v>1.9E-3</v>
      </c>
      <c r="E151" s="276">
        <v>1.6999999999999999E-3</v>
      </c>
      <c r="F151" s="276">
        <v>1.1999999999999999E-3</v>
      </c>
      <c r="G151" s="276">
        <v>4.0000000000000002E-4</v>
      </c>
      <c r="H151" s="276">
        <v>1.8E-3</v>
      </c>
      <c r="I151" s="276">
        <v>1.1999999999999999E-3</v>
      </c>
      <c r="J151" s="276">
        <v>1.1999999999999999E-3</v>
      </c>
      <c r="K151" s="276">
        <v>2E-3</v>
      </c>
      <c r="L151" s="276">
        <v>2.2000000000000003E-4</v>
      </c>
      <c r="M151" s="276">
        <v>2.2000000000000001E-3</v>
      </c>
      <c r="N151" s="276">
        <v>2.0999999999999998E-4</v>
      </c>
      <c r="O151" s="276">
        <v>2.3E-5</v>
      </c>
      <c r="P151" s="277" t="s">
        <v>580</v>
      </c>
      <c r="Q151" s="245" t="s">
        <v>530</v>
      </c>
      <c r="AG151" s="5" t="str">
        <f t="shared" si="1"/>
        <v/>
      </c>
    </row>
    <row r="152" spans="1:33" ht="15.75">
      <c r="A152" s="267"/>
      <c r="B152" s="270" t="s">
        <v>283</v>
      </c>
      <c r="C152" s="271" t="s">
        <v>312</v>
      </c>
      <c r="D152" s="276">
        <v>1.8E-3</v>
      </c>
      <c r="E152" s="276">
        <v>1.6000000000000001E-3</v>
      </c>
      <c r="F152" s="276">
        <v>1.1000000000000001E-3</v>
      </c>
      <c r="G152" s="276">
        <v>5.7999999999999996E-3</v>
      </c>
      <c r="H152" s="276">
        <v>2.3E-3</v>
      </c>
      <c r="I152" s="276">
        <v>8.9999999999999998E-4</v>
      </c>
      <c r="J152" s="276">
        <v>8.9999999999999998E-4</v>
      </c>
      <c r="K152" s="276">
        <v>1E-3</v>
      </c>
      <c r="L152" s="276">
        <v>1.7000000000000001E-4</v>
      </c>
      <c r="M152" s="276">
        <v>1.6000000000000001E-3</v>
      </c>
      <c r="N152" s="276">
        <v>1.6000000000000001E-4</v>
      </c>
      <c r="O152" s="276">
        <v>1.17E-4</v>
      </c>
      <c r="P152" s="277" t="s">
        <v>580</v>
      </c>
      <c r="Q152" s="245" t="s">
        <v>530</v>
      </c>
      <c r="AG152" s="5" t="str">
        <f t="shared" si="1"/>
        <v/>
      </c>
    </row>
    <row r="153" spans="1:33" ht="15.75">
      <c r="B153" s="270" t="s">
        <v>283</v>
      </c>
      <c r="C153" s="271" t="s">
        <v>313</v>
      </c>
      <c r="D153" s="279" t="s">
        <v>429</v>
      </c>
      <c r="E153" s="279" t="s">
        <v>429</v>
      </c>
      <c r="F153" s="279" t="s">
        <v>429</v>
      </c>
      <c r="G153" s="276">
        <v>6.5000000000000006E-3</v>
      </c>
      <c r="H153" s="279" t="s">
        <v>429</v>
      </c>
      <c r="I153" s="279" t="s">
        <v>429</v>
      </c>
      <c r="J153" s="279" t="s">
        <v>429</v>
      </c>
      <c r="K153" s="279" t="s">
        <v>429</v>
      </c>
      <c r="L153" s="279" t="s">
        <v>429</v>
      </c>
      <c r="M153" s="279" t="s">
        <v>429</v>
      </c>
      <c r="N153" s="279" t="s">
        <v>429</v>
      </c>
      <c r="O153" s="279" t="s">
        <v>429</v>
      </c>
      <c r="P153" s="277" t="s">
        <v>580</v>
      </c>
      <c r="Q153" s="245" t="s">
        <v>530</v>
      </c>
      <c r="AG153" s="5" t="str">
        <f t="shared" si="1"/>
        <v/>
      </c>
    </row>
    <row r="154" spans="1:33" ht="15.75">
      <c r="B154" s="270" t="s">
        <v>285</v>
      </c>
      <c r="C154" s="271" t="s">
        <v>312</v>
      </c>
      <c r="D154" s="276">
        <v>1.5E-3</v>
      </c>
      <c r="E154" s="276">
        <v>1.3999999999999998E-3</v>
      </c>
      <c r="F154" s="276">
        <v>8.9999999999999998E-4</v>
      </c>
      <c r="G154" s="276">
        <v>2.2000000000000001E-3</v>
      </c>
      <c r="H154" s="276">
        <v>2E-3</v>
      </c>
      <c r="I154" s="276">
        <v>8.9999999999999998E-4</v>
      </c>
      <c r="J154" s="276">
        <v>8.9999999999999998E-4</v>
      </c>
      <c r="K154" s="276">
        <v>1E-3</v>
      </c>
      <c r="L154" s="276">
        <v>1.7000000000000001E-4</v>
      </c>
      <c r="M154" s="276">
        <v>1.6000000000000001E-3</v>
      </c>
      <c r="N154" s="276">
        <v>1.6000000000000001E-4</v>
      </c>
      <c r="O154" s="276">
        <v>1.17E-4</v>
      </c>
      <c r="P154" s="277" t="s">
        <v>580</v>
      </c>
      <c r="Q154" s="245" t="s">
        <v>530</v>
      </c>
      <c r="AG154" s="5" t="str">
        <f t="shared" si="1"/>
        <v/>
      </c>
    </row>
    <row r="155" spans="1:33" ht="15.75">
      <c r="B155" s="270" t="s">
        <v>285</v>
      </c>
      <c r="C155" s="271" t="s">
        <v>313</v>
      </c>
      <c r="D155" s="279" t="s">
        <v>429</v>
      </c>
      <c r="E155" s="279" t="s">
        <v>429</v>
      </c>
      <c r="F155" s="279" t="s">
        <v>429</v>
      </c>
      <c r="G155" s="276">
        <v>6.4000000000000003E-3</v>
      </c>
      <c r="H155" s="279" t="s">
        <v>429</v>
      </c>
      <c r="I155" s="279" t="s">
        <v>429</v>
      </c>
      <c r="J155" s="279" t="s">
        <v>429</v>
      </c>
      <c r="K155" s="279" t="s">
        <v>429</v>
      </c>
      <c r="L155" s="279" t="s">
        <v>429</v>
      </c>
      <c r="M155" s="279" t="s">
        <v>429</v>
      </c>
      <c r="N155" s="279" t="s">
        <v>429</v>
      </c>
      <c r="O155" s="279" t="s">
        <v>429</v>
      </c>
      <c r="P155" s="277" t="s">
        <v>580</v>
      </c>
      <c r="Q155" s="245" t="s">
        <v>530</v>
      </c>
      <c r="AG155" s="5" t="str">
        <f t="shared" si="1"/>
        <v/>
      </c>
    </row>
    <row r="156" spans="1:33" ht="15.75">
      <c r="B156" s="270" t="s">
        <v>284</v>
      </c>
      <c r="C156" s="271" t="s">
        <v>225</v>
      </c>
      <c r="D156" s="276">
        <v>1.6999999999999999E-3</v>
      </c>
      <c r="E156" s="276">
        <v>1.5E-3</v>
      </c>
      <c r="F156" s="276">
        <v>1.1000000000000001E-3</v>
      </c>
      <c r="G156" s="276">
        <v>1.1999999999999999E-3</v>
      </c>
      <c r="H156" s="276">
        <v>2.1000000000000003E-3</v>
      </c>
      <c r="I156" s="276">
        <v>1.1999999999999999E-3</v>
      </c>
      <c r="J156" s="276">
        <v>1.1999999999999999E-3</v>
      </c>
      <c r="K156" s="276">
        <v>2E-3</v>
      </c>
      <c r="L156" s="276">
        <v>2.2000000000000003E-4</v>
      </c>
      <c r="M156" s="276">
        <v>2.2000000000000001E-3</v>
      </c>
      <c r="N156" s="276">
        <v>2.0999999999999998E-4</v>
      </c>
      <c r="O156" s="276">
        <v>2.3E-5</v>
      </c>
      <c r="P156" s="277" t="s">
        <v>580</v>
      </c>
      <c r="Q156" s="245" t="s">
        <v>530</v>
      </c>
      <c r="AG156" s="5" t="str">
        <f t="shared" si="1"/>
        <v/>
      </c>
    </row>
    <row r="157" spans="1:33" ht="15.75">
      <c r="B157" s="273" t="s">
        <v>286</v>
      </c>
      <c r="C157" s="271" t="s">
        <v>225</v>
      </c>
      <c r="D157" s="278">
        <v>1.8E-3</v>
      </c>
      <c r="E157" s="278">
        <v>1.6000000000000001E-3</v>
      </c>
      <c r="F157" s="278">
        <v>1.1000000000000001E-3</v>
      </c>
      <c r="G157" s="278">
        <v>5.9999999999999995E-4</v>
      </c>
      <c r="H157" s="278">
        <v>2.1000000000000003E-3</v>
      </c>
      <c r="I157" s="278">
        <v>1.1999999999999999E-3</v>
      </c>
      <c r="J157" s="278">
        <v>1.1999999999999999E-3</v>
      </c>
      <c r="K157" s="278">
        <v>2E-3</v>
      </c>
      <c r="L157" s="278">
        <v>2.2000000000000003E-4</v>
      </c>
      <c r="M157" s="278">
        <v>2.2000000000000001E-3</v>
      </c>
      <c r="N157" s="278">
        <v>2.0999999999999998E-4</v>
      </c>
      <c r="O157" s="278">
        <v>2.3E-5</v>
      </c>
      <c r="P157" s="277" t="s">
        <v>580</v>
      </c>
      <c r="Q157" s="245" t="s">
        <v>530</v>
      </c>
      <c r="AG157" s="5" t="str">
        <f t="shared" si="1"/>
        <v/>
      </c>
    </row>
    <row r="158" spans="1:33">
      <c r="Q158" s="280"/>
    </row>
    <row r="159" spans="1:33">
      <c r="B159" s="400" t="s">
        <v>519</v>
      </c>
      <c r="C159" s="400"/>
      <c r="D159" s="400"/>
      <c r="E159" s="400"/>
      <c r="F159" s="400"/>
      <c r="G159" s="400"/>
      <c r="H159" s="400"/>
      <c r="I159" s="400"/>
      <c r="J159" s="400"/>
      <c r="K159" s="400"/>
      <c r="L159" s="400"/>
      <c r="M159" s="400"/>
      <c r="N159" s="400"/>
      <c r="O159" s="400"/>
    </row>
    <row r="160" spans="1:33">
      <c r="B160" s="281"/>
      <c r="C160" s="406" t="s">
        <v>352</v>
      </c>
      <c r="D160" s="406"/>
      <c r="E160" s="406"/>
      <c r="F160" s="406"/>
      <c r="G160" s="406"/>
      <c r="H160" s="406"/>
      <c r="I160" s="406"/>
      <c r="J160" s="406"/>
      <c r="K160" s="406"/>
      <c r="L160" s="406"/>
      <c r="M160" s="406"/>
      <c r="N160" s="406"/>
      <c r="O160" s="406"/>
    </row>
    <row r="161" spans="2:15">
      <c r="B161" s="282"/>
      <c r="C161" s="407" t="s">
        <v>92</v>
      </c>
      <c r="D161" s="408"/>
      <c r="E161" s="409"/>
      <c r="F161" s="401" t="s">
        <v>37</v>
      </c>
      <c r="G161" s="401" t="s">
        <v>315</v>
      </c>
      <c r="H161" s="401" t="s">
        <v>78</v>
      </c>
      <c r="I161" s="401" t="s">
        <v>79</v>
      </c>
      <c r="J161" s="401" t="s">
        <v>28</v>
      </c>
      <c r="K161" s="401" t="s">
        <v>89</v>
      </c>
      <c r="L161" s="401" t="s">
        <v>77</v>
      </c>
      <c r="M161" s="401" t="s">
        <v>90</v>
      </c>
      <c r="N161" s="401" t="s">
        <v>222</v>
      </c>
      <c r="O161" s="401" t="s">
        <v>342</v>
      </c>
    </row>
    <row r="162" spans="2:15">
      <c r="B162" s="36" t="s">
        <v>46</v>
      </c>
      <c r="C162" s="283" t="s">
        <v>87</v>
      </c>
      <c r="D162" s="283" t="s">
        <v>88</v>
      </c>
      <c r="E162" s="283" t="s">
        <v>314</v>
      </c>
      <c r="F162" s="402"/>
      <c r="G162" s="402"/>
      <c r="H162" s="402"/>
      <c r="I162" s="402"/>
      <c r="J162" s="402"/>
      <c r="K162" s="402"/>
      <c r="L162" s="402"/>
      <c r="M162" s="402"/>
      <c r="N162" s="402"/>
      <c r="O162" s="402"/>
    </row>
    <row r="163" spans="2:15" ht="15.75">
      <c r="B163" s="245" t="s">
        <v>261</v>
      </c>
      <c r="C163" s="284">
        <v>5.2999999999999999E-2</v>
      </c>
      <c r="D163" s="284">
        <v>5.8000000000000003E-2</v>
      </c>
      <c r="E163" s="284">
        <v>4.1000000000000002E-2</v>
      </c>
      <c r="F163" s="284">
        <v>1E-3</v>
      </c>
      <c r="G163" s="284">
        <v>6.0999999999999999E-2</v>
      </c>
      <c r="H163" s="284">
        <v>0.01</v>
      </c>
      <c r="I163" s="284">
        <v>0.01</v>
      </c>
      <c r="J163" s="284">
        <v>5.5E-2</v>
      </c>
      <c r="K163" s="284">
        <v>5.0000000000000001E-3</v>
      </c>
      <c r="L163" s="284">
        <v>1.7999999999999999E-2</v>
      </c>
      <c r="M163" s="284">
        <v>5.0000000000000001E-3</v>
      </c>
      <c r="N163" s="277" t="s">
        <v>580</v>
      </c>
      <c r="O163" s="245" t="s">
        <v>530</v>
      </c>
    </row>
    <row r="164" spans="2:15" ht="15.75">
      <c r="B164" s="245" t="s">
        <v>262</v>
      </c>
      <c r="C164" s="284">
        <v>5.5E-2</v>
      </c>
      <c r="D164" s="284">
        <v>7.3999999999999996E-2</v>
      </c>
      <c r="E164" s="284">
        <v>4.2999999999999997E-2</v>
      </c>
      <c r="F164" s="284">
        <v>1E-3</v>
      </c>
      <c r="G164" s="284">
        <v>6.7000000000000004E-2</v>
      </c>
      <c r="H164" s="284">
        <v>0.01</v>
      </c>
      <c r="I164" s="284">
        <v>0.01</v>
      </c>
      <c r="J164" s="284">
        <v>5.5E-2</v>
      </c>
      <c r="K164" s="284">
        <v>5.0000000000000001E-3</v>
      </c>
      <c r="L164" s="284">
        <v>1.7999999999999999E-2</v>
      </c>
      <c r="M164" s="284">
        <v>5.0000000000000001E-3</v>
      </c>
      <c r="N164" s="277" t="s">
        <v>580</v>
      </c>
      <c r="O164" s="245" t="s">
        <v>530</v>
      </c>
    </row>
    <row r="165" spans="2:15" ht="15.75">
      <c r="B165" s="245" t="s">
        <v>264</v>
      </c>
      <c r="C165" s="284">
        <v>5.2999999999999999E-2</v>
      </c>
      <c r="D165" s="284">
        <v>6.0999999999999999E-2</v>
      </c>
      <c r="E165" s="284">
        <v>4.1000000000000002E-2</v>
      </c>
      <c r="F165" s="284">
        <v>1E-3</v>
      </c>
      <c r="G165" s="284">
        <v>6.4000000000000001E-2</v>
      </c>
      <c r="H165" s="284">
        <v>0.01</v>
      </c>
      <c r="I165" s="284">
        <v>0.01</v>
      </c>
      <c r="J165" s="284">
        <v>5.5E-2</v>
      </c>
      <c r="K165" s="284">
        <v>5.0000000000000001E-3</v>
      </c>
      <c r="L165" s="284">
        <v>1.7999999999999999E-2</v>
      </c>
      <c r="M165" s="284">
        <v>5.0000000000000001E-3</v>
      </c>
      <c r="N165" s="277" t="s">
        <v>580</v>
      </c>
      <c r="O165" s="245" t="s">
        <v>530</v>
      </c>
    </row>
    <row r="166" spans="2:15" ht="15.75">
      <c r="B166" s="245" t="s">
        <v>263</v>
      </c>
      <c r="C166" s="284">
        <v>5.2999999999999999E-2</v>
      </c>
      <c r="D166" s="284">
        <v>5.6000000000000001E-2</v>
      </c>
      <c r="E166" s="284">
        <v>4.1000000000000002E-2</v>
      </c>
      <c r="F166" s="284">
        <v>1E-3</v>
      </c>
      <c r="G166" s="284">
        <v>5.8999999999999997E-2</v>
      </c>
      <c r="H166" s="284">
        <v>0.01</v>
      </c>
      <c r="I166" s="284">
        <v>0.01</v>
      </c>
      <c r="J166" s="284">
        <v>5.5E-2</v>
      </c>
      <c r="K166" s="284">
        <v>5.0000000000000001E-3</v>
      </c>
      <c r="L166" s="284">
        <v>1.7999999999999999E-2</v>
      </c>
      <c r="M166" s="284">
        <v>5.0000000000000001E-3</v>
      </c>
      <c r="N166" s="277" t="s">
        <v>580</v>
      </c>
      <c r="O166" s="245" t="s">
        <v>530</v>
      </c>
    </row>
    <row r="167" spans="2:15" ht="15.75">
      <c r="B167" s="245" t="s">
        <v>265</v>
      </c>
      <c r="C167" s="284">
        <v>5.5E-2</v>
      </c>
      <c r="D167" s="284">
        <v>0.06</v>
      </c>
      <c r="E167" s="284">
        <v>4.2999999999999997E-2</v>
      </c>
      <c r="F167" s="284">
        <v>1E-3</v>
      </c>
      <c r="G167" s="284">
        <v>5.6000000000000001E-2</v>
      </c>
      <c r="H167" s="284">
        <v>0.01</v>
      </c>
      <c r="I167" s="284">
        <v>0.01</v>
      </c>
      <c r="J167" s="284">
        <v>5.5E-2</v>
      </c>
      <c r="K167" s="284">
        <v>5.0000000000000001E-3</v>
      </c>
      <c r="L167" s="284">
        <v>1.7999999999999999E-2</v>
      </c>
      <c r="M167" s="284">
        <v>5.0000000000000001E-3</v>
      </c>
      <c r="N167" s="277" t="s">
        <v>580</v>
      </c>
      <c r="O167" s="245" t="s">
        <v>530</v>
      </c>
    </row>
    <row r="168" spans="2:15" ht="15.75">
      <c r="B168" s="245" t="s">
        <v>266</v>
      </c>
      <c r="C168" s="284">
        <v>5.5E-2</v>
      </c>
      <c r="D168" s="284">
        <v>6.4000000000000001E-2</v>
      </c>
      <c r="E168" s="284">
        <v>4.2999999999999997E-2</v>
      </c>
      <c r="F168" s="284">
        <v>1E-3</v>
      </c>
      <c r="G168" s="284">
        <v>5.8999999999999997E-2</v>
      </c>
      <c r="H168" s="284">
        <v>0.01</v>
      </c>
      <c r="I168" s="284">
        <v>0.01</v>
      </c>
      <c r="J168" s="284">
        <v>5.5E-2</v>
      </c>
      <c r="K168" s="284">
        <v>5.0000000000000001E-3</v>
      </c>
      <c r="L168" s="284">
        <v>1.7999999999999999E-2</v>
      </c>
      <c r="M168" s="284">
        <v>5.0000000000000001E-3</v>
      </c>
      <c r="N168" s="277" t="s">
        <v>580</v>
      </c>
      <c r="O168" s="245" t="s">
        <v>530</v>
      </c>
    </row>
    <row r="169" spans="2:15" ht="15.75">
      <c r="B169" s="245" t="s">
        <v>267</v>
      </c>
      <c r="C169" s="268">
        <v>5.0999999999999997E-2</v>
      </c>
      <c r="D169" s="268">
        <v>7.1999999999999995E-2</v>
      </c>
      <c r="E169" s="268">
        <v>0.04</v>
      </c>
      <c r="F169" s="268">
        <v>1E-3</v>
      </c>
      <c r="G169" s="268">
        <v>6.3E-2</v>
      </c>
      <c r="H169" s="268">
        <v>0.01</v>
      </c>
      <c r="I169" s="268">
        <v>0.01</v>
      </c>
      <c r="J169" s="268">
        <v>5.5E-2</v>
      </c>
      <c r="K169" s="268">
        <v>5.0000000000000001E-3</v>
      </c>
      <c r="L169" s="268">
        <v>1.7999999999999999E-2</v>
      </c>
      <c r="M169" s="268">
        <v>5.0000000000000001E-3</v>
      </c>
      <c r="N169" s="277" t="s">
        <v>580</v>
      </c>
      <c r="O169" s="245" t="s">
        <v>530</v>
      </c>
    </row>
    <row r="170" spans="2:15" ht="15.75">
      <c r="B170" s="245" t="s">
        <v>310</v>
      </c>
      <c r="C170" s="284">
        <v>5.1999999999999998E-2</v>
      </c>
      <c r="D170" s="284">
        <v>6.4000000000000001E-2</v>
      </c>
      <c r="E170" s="284">
        <v>4.1000000000000002E-2</v>
      </c>
      <c r="F170" s="284">
        <v>1E-3</v>
      </c>
      <c r="G170" s="284">
        <v>0.06</v>
      </c>
      <c r="H170" s="284">
        <v>0.01</v>
      </c>
      <c r="I170" s="284">
        <v>0.01</v>
      </c>
      <c r="J170" s="284">
        <v>5.5E-2</v>
      </c>
      <c r="K170" s="284">
        <v>5.0000000000000001E-3</v>
      </c>
      <c r="L170" s="284">
        <v>1.7999999999999999E-2</v>
      </c>
      <c r="M170" s="284">
        <v>5.0000000000000001E-3</v>
      </c>
      <c r="N170" s="277" t="s">
        <v>580</v>
      </c>
      <c r="O170" s="245" t="s">
        <v>530</v>
      </c>
    </row>
    <row r="171" spans="2:15" ht="15.75">
      <c r="B171" s="245" t="s">
        <v>269</v>
      </c>
      <c r="C171" s="284">
        <v>5.0999999999999997E-2</v>
      </c>
      <c r="D171" s="284">
        <v>6.6000000000000003E-2</v>
      </c>
      <c r="E171" s="284">
        <v>0.04</v>
      </c>
      <c r="F171" s="284">
        <v>1E-3</v>
      </c>
      <c r="G171" s="284">
        <v>5.8000000000000003E-2</v>
      </c>
      <c r="H171" s="284">
        <v>0.01</v>
      </c>
      <c r="I171" s="284">
        <v>0.01</v>
      </c>
      <c r="J171" s="284">
        <v>5.5E-2</v>
      </c>
      <c r="K171" s="284">
        <v>5.0000000000000001E-3</v>
      </c>
      <c r="L171" s="284">
        <v>1.7999999999999999E-2</v>
      </c>
      <c r="M171" s="284">
        <v>5.0000000000000001E-3</v>
      </c>
      <c r="N171" s="277" t="s">
        <v>580</v>
      </c>
      <c r="O171" s="245" t="s">
        <v>530</v>
      </c>
    </row>
    <row r="172" spans="2:15" ht="15.75">
      <c r="B172" s="245" t="s">
        <v>270</v>
      </c>
      <c r="C172" s="284">
        <v>5.5E-2</v>
      </c>
      <c r="D172" s="284">
        <v>6.0999999999999999E-2</v>
      </c>
      <c r="E172" s="284">
        <v>4.2999999999999997E-2</v>
      </c>
      <c r="F172" s="284">
        <v>1E-3</v>
      </c>
      <c r="G172" s="284">
        <v>5.7000000000000002E-2</v>
      </c>
      <c r="H172" s="284">
        <v>0.01</v>
      </c>
      <c r="I172" s="284">
        <v>0.01</v>
      </c>
      <c r="J172" s="284">
        <v>5.5E-2</v>
      </c>
      <c r="K172" s="284">
        <v>5.0000000000000001E-3</v>
      </c>
      <c r="L172" s="284">
        <v>1.7999999999999999E-2</v>
      </c>
      <c r="M172" s="284">
        <v>5.0000000000000001E-3</v>
      </c>
      <c r="N172" s="277" t="s">
        <v>580</v>
      </c>
      <c r="O172" s="245" t="s">
        <v>530</v>
      </c>
    </row>
    <row r="173" spans="2:15" ht="15.75">
      <c r="B173" s="245" t="s">
        <v>311</v>
      </c>
      <c r="C173" s="284">
        <v>5.0999999999999997E-2</v>
      </c>
      <c r="D173" s="284">
        <v>6.4000000000000001E-2</v>
      </c>
      <c r="E173" s="284">
        <v>0.04</v>
      </c>
      <c r="F173" s="284">
        <v>1E-3</v>
      </c>
      <c r="G173" s="284">
        <v>5.6000000000000001E-2</v>
      </c>
      <c r="H173" s="284">
        <v>0.01</v>
      </c>
      <c r="I173" s="284">
        <v>0.01</v>
      </c>
      <c r="J173" s="284">
        <v>5.5E-2</v>
      </c>
      <c r="K173" s="284">
        <v>5.0000000000000001E-3</v>
      </c>
      <c r="L173" s="284">
        <v>1.7999999999999999E-2</v>
      </c>
      <c r="M173" s="284">
        <v>5.0000000000000001E-3</v>
      </c>
      <c r="N173" s="277" t="s">
        <v>580</v>
      </c>
      <c r="O173" s="245" t="s">
        <v>530</v>
      </c>
    </row>
    <row r="174" spans="2:15" ht="15.75">
      <c r="B174" s="245" t="s">
        <v>272</v>
      </c>
      <c r="C174" s="284">
        <v>5.0999999999999997E-2</v>
      </c>
      <c r="D174" s="284">
        <v>6.2E-2</v>
      </c>
      <c r="E174" s="284">
        <v>0.04</v>
      </c>
      <c r="F174" s="284">
        <v>1E-3</v>
      </c>
      <c r="G174" s="284">
        <v>5.5E-2</v>
      </c>
      <c r="H174" s="284">
        <v>0.01</v>
      </c>
      <c r="I174" s="284">
        <v>0.01</v>
      </c>
      <c r="J174" s="284">
        <v>5.5E-2</v>
      </c>
      <c r="K174" s="284">
        <v>5.0000000000000001E-3</v>
      </c>
      <c r="L174" s="284">
        <v>1.7999999999999999E-2</v>
      </c>
      <c r="M174" s="284">
        <v>5.0000000000000001E-3</v>
      </c>
      <c r="N174" s="277" t="s">
        <v>580</v>
      </c>
      <c r="O174" s="245" t="s">
        <v>530</v>
      </c>
    </row>
    <row r="175" spans="2:15" ht="15.75">
      <c r="B175" s="245" t="s">
        <v>271</v>
      </c>
      <c r="C175" s="284">
        <v>5.1999999999999998E-2</v>
      </c>
      <c r="D175" s="284">
        <v>7.0000000000000007E-2</v>
      </c>
      <c r="E175" s="284">
        <v>4.1000000000000002E-2</v>
      </c>
      <c r="F175" s="284">
        <v>1E-3</v>
      </c>
      <c r="G175" s="284">
        <v>6.4000000000000001E-2</v>
      </c>
      <c r="H175" s="284">
        <v>0.01</v>
      </c>
      <c r="I175" s="284">
        <v>0.01</v>
      </c>
      <c r="J175" s="284">
        <v>5.5E-2</v>
      </c>
      <c r="K175" s="284">
        <v>5.0000000000000001E-3</v>
      </c>
      <c r="L175" s="284">
        <v>1.7999999999999999E-2</v>
      </c>
      <c r="M175" s="284">
        <v>5.0000000000000001E-3</v>
      </c>
      <c r="N175" s="277" t="s">
        <v>580</v>
      </c>
      <c r="O175" s="245" t="s">
        <v>530</v>
      </c>
    </row>
    <row r="176" spans="2:15" ht="15.75">
      <c r="B176" s="245" t="s">
        <v>273</v>
      </c>
      <c r="C176" s="284">
        <v>5.2999999999999999E-2</v>
      </c>
      <c r="D176" s="284">
        <v>0.06</v>
      </c>
      <c r="E176" s="284">
        <v>4.1000000000000002E-2</v>
      </c>
      <c r="F176" s="284">
        <v>1E-3</v>
      </c>
      <c r="G176" s="284">
        <v>6.3E-2</v>
      </c>
      <c r="H176" s="284">
        <v>0.01</v>
      </c>
      <c r="I176" s="284">
        <v>0.01</v>
      </c>
      <c r="J176" s="284">
        <v>5.5E-2</v>
      </c>
      <c r="K176" s="284">
        <v>5.0000000000000001E-3</v>
      </c>
      <c r="L176" s="284">
        <v>1.7999999999999999E-2</v>
      </c>
      <c r="M176" s="284">
        <v>5.0000000000000001E-3</v>
      </c>
      <c r="N176" s="277" t="s">
        <v>580</v>
      </c>
      <c r="O176" s="245" t="s">
        <v>530</v>
      </c>
    </row>
    <row r="177" spans="2:15" ht="15.75">
      <c r="B177" s="245" t="s">
        <v>274</v>
      </c>
      <c r="C177" s="284">
        <v>5.5E-2</v>
      </c>
      <c r="D177" s="284">
        <v>6.5000000000000002E-2</v>
      </c>
      <c r="E177" s="284">
        <v>4.2999999999999997E-2</v>
      </c>
      <c r="F177" s="284">
        <v>1E-3</v>
      </c>
      <c r="G177" s="284">
        <v>0.06</v>
      </c>
      <c r="H177" s="284">
        <v>0.01</v>
      </c>
      <c r="I177" s="284">
        <v>0.01</v>
      </c>
      <c r="J177" s="284">
        <v>5.5E-2</v>
      </c>
      <c r="K177" s="284">
        <v>5.0000000000000001E-3</v>
      </c>
      <c r="L177" s="284">
        <v>1.7999999999999999E-2</v>
      </c>
      <c r="M177" s="284">
        <v>5.0000000000000001E-3</v>
      </c>
      <c r="N177" s="277" t="s">
        <v>580</v>
      </c>
      <c r="O177" s="245" t="s">
        <v>530</v>
      </c>
    </row>
    <row r="178" spans="2:15" ht="15.75">
      <c r="B178" s="245" t="s">
        <v>277</v>
      </c>
      <c r="C178" s="284">
        <v>5.5E-2</v>
      </c>
      <c r="D178" s="284">
        <v>8.3000000000000004E-2</v>
      </c>
      <c r="E178" s="284">
        <v>4.2999999999999997E-2</v>
      </c>
      <c r="F178" s="284">
        <v>1E-3</v>
      </c>
      <c r="G178" s="284">
        <v>6.9000000000000006E-2</v>
      </c>
      <c r="H178" s="284">
        <v>0.01</v>
      </c>
      <c r="I178" s="284">
        <v>0.01</v>
      </c>
      <c r="J178" s="284">
        <v>5.5E-2</v>
      </c>
      <c r="K178" s="284">
        <v>5.0000000000000001E-3</v>
      </c>
      <c r="L178" s="284">
        <v>1.7999999999999999E-2</v>
      </c>
      <c r="M178" s="284">
        <v>5.0000000000000001E-3</v>
      </c>
      <c r="N178" s="277" t="s">
        <v>580</v>
      </c>
      <c r="O178" s="245" t="s">
        <v>530</v>
      </c>
    </row>
    <row r="179" spans="2:15" ht="15.75">
      <c r="B179" s="245" t="s">
        <v>275</v>
      </c>
      <c r="C179" s="284">
        <v>5.5E-2</v>
      </c>
      <c r="D179" s="284">
        <v>7.2999999999999995E-2</v>
      </c>
      <c r="E179" s="284">
        <v>4.2999999999999997E-2</v>
      </c>
      <c r="F179" s="284">
        <v>1E-3</v>
      </c>
      <c r="G179" s="284">
        <v>6.7000000000000004E-2</v>
      </c>
      <c r="H179" s="284">
        <v>0.01</v>
      </c>
      <c r="I179" s="284">
        <v>0.01</v>
      </c>
      <c r="J179" s="284">
        <v>5.5E-2</v>
      </c>
      <c r="K179" s="284">
        <v>5.0000000000000001E-3</v>
      </c>
      <c r="L179" s="284">
        <v>1.7999999999999999E-2</v>
      </c>
      <c r="M179" s="284">
        <v>5.0000000000000001E-3</v>
      </c>
      <c r="N179" s="277" t="s">
        <v>580</v>
      </c>
      <c r="O179" s="245" t="s">
        <v>530</v>
      </c>
    </row>
    <row r="180" spans="2:15" ht="15.75">
      <c r="B180" s="245" t="s">
        <v>276</v>
      </c>
      <c r="C180" s="284">
        <v>5.5E-2</v>
      </c>
      <c r="D180" s="284">
        <v>0.06</v>
      </c>
      <c r="E180" s="284">
        <v>4.2999999999999997E-2</v>
      </c>
      <c r="F180" s="284">
        <v>1E-3</v>
      </c>
      <c r="G180" s="284">
        <v>5.5E-2</v>
      </c>
      <c r="H180" s="284">
        <v>0.01</v>
      </c>
      <c r="I180" s="284">
        <v>0.01</v>
      </c>
      <c r="J180" s="284">
        <v>5.5E-2</v>
      </c>
      <c r="K180" s="284">
        <v>5.0000000000000001E-3</v>
      </c>
      <c r="L180" s="284">
        <v>1.7999999999999999E-2</v>
      </c>
      <c r="M180" s="284">
        <v>5.0000000000000001E-3</v>
      </c>
      <c r="N180" s="277" t="s">
        <v>580</v>
      </c>
      <c r="O180" s="245" t="s">
        <v>530</v>
      </c>
    </row>
    <row r="181" spans="2:15" ht="15.75">
      <c r="B181" s="245" t="s">
        <v>278</v>
      </c>
      <c r="C181" s="284">
        <v>5.1999999999999998E-2</v>
      </c>
      <c r="D181" s="284">
        <v>6.5000000000000002E-2</v>
      </c>
      <c r="E181" s="284">
        <v>4.1000000000000002E-2</v>
      </c>
      <c r="F181" s="284">
        <v>1E-3</v>
      </c>
      <c r="G181" s="284">
        <v>0.06</v>
      </c>
      <c r="H181" s="284">
        <v>0.01</v>
      </c>
      <c r="I181" s="284">
        <v>0.01</v>
      </c>
      <c r="J181" s="284">
        <v>5.5E-2</v>
      </c>
      <c r="K181" s="284">
        <v>5.0000000000000001E-3</v>
      </c>
      <c r="L181" s="284">
        <v>1.7999999999999999E-2</v>
      </c>
      <c r="M181" s="284">
        <v>5.0000000000000001E-3</v>
      </c>
      <c r="N181" s="277" t="s">
        <v>580</v>
      </c>
      <c r="O181" s="245" t="s">
        <v>530</v>
      </c>
    </row>
    <row r="182" spans="2:15" ht="15.75">
      <c r="B182" s="245" t="s">
        <v>279</v>
      </c>
      <c r="C182" s="284">
        <v>5.5E-2</v>
      </c>
      <c r="D182" s="284">
        <v>6.5000000000000002E-2</v>
      </c>
      <c r="E182" s="284">
        <v>4.2999999999999997E-2</v>
      </c>
      <c r="F182" s="284">
        <v>1E-3</v>
      </c>
      <c r="G182" s="284">
        <v>5.8999999999999997E-2</v>
      </c>
      <c r="H182" s="284">
        <v>0.01</v>
      </c>
      <c r="I182" s="284">
        <v>0.01</v>
      </c>
      <c r="J182" s="284">
        <v>5.5E-2</v>
      </c>
      <c r="K182" s="284">
        <v>5.0000000000000001E-3</v>
      </c>
      <c r="L182" s="284">
        <v>1.7999999999999999E-2</v>
      </c>
      <c r="M182" s="284">
        <v>5.0000000000000001E-3</v>
      </c>
      <c r="N182" s="277" t="s">
        <v>580</v>
      </c>
      <c r="O182" s="245" t="s">
        <v>530</v>
      </c>
    </row>
    <row r="183" spans="2:15" ht="15.75">
      <c r="B183" s="245" t="s">
        <v>282</v>
      </c>
      <c r="C183" s="284">
        <v>5.5E-2</v>
      </c>
      <c r="D183" s="284">
        <v>8.4000000000000005E-2</v>
      </c>
      <c r="E183" s="284">
        <v>4.2999999999999997E-2</v>
      </c>
      <c r="F183" s="284">
        <v>1E-3</v>
      </c>
      <c r="G183" s="284">
        <v>7.0000000000000007E-2</v>
      </c>
      <c r="H183" s="284">
        <v>0.01</v>
      </c>
      <c r="I183" s="284">
        <v>0.01</v>
      </c>
      <c r="J183" s="284">
        <v>5.5E-2</v>
      </c>
      <c r="K183" s="284">
        <v>5.0000000000000001E-3</v>
      </c>
      <c r="L183" s="284">
        <v>1.7999999999999999E-2</v>
      </c>
      <c r="M183" s="284">
        <v>5.0000000000000001E-3</v>
      </c>
      <c r="N183" s="277" t="s">
        <v>580</v>
      </c>
      <c r="O183" s="245" t="s">
        <v>530</v>
      </c>
    </row>
    <row r="184" spans="2:15" ht="15.75">
      <c r="B184" s="245" t="s">
        <v>280</v>
      </c>
      <c r="C184" s="284">
        <v>5.2999999999999999E-2</v>
      </c>
      <c r="D184" s="284">
        <v>0.06</v>
      </c>
      <c r="E184" s="284">
        <v>4.1000000000000002E-2</v>
      </c>
      <c r="F184" s="284">
        <v>1E-3</v>
      </c>
      <c r="G184" s="284">
        <v>6.3E-2</v>
      </c>
      <c r="H184" s="284">
        <v>0.01</v>
      </c>
      <c r="I184" s="284">
        <v>0.01</v>
      </c>
      <c r="J184" s="284">
        <v>5.5E-2</v>
      </c>
      <c r="K184" s="284">
        <v>5.0000000000000001E-3</v>
      </c>
      <c r="L184" s="284">
        <v>1.7999999999999999E-2</v>
      </c>
      <c r="M184" s="284">
        <v>5.0000000000000001E-3</v>
      </c>
      <c r="N184" s="277" t="s">
        <v>580</v>
      </c>
      <c r="O184" s="245" t="s">
        <v>530</v>
      </c>
    </row>
    <row r="185" spans="2:15" ht="15.75">
      <c r="B185" s="245" t="s">
        <v>281</v>
      </c>
      <c r="C185" s="284">
        <v>5.2999999999999999E-2</v>
      </c>
      <c r="D185" s="284">
        <v>5.3999999999999999E-2</v>
      </c>
      <c r="E185" s="284">
        <v>4.1000000000000002E-2</v>
      </c>
      <c r="F185" s="284">
        <v>1E-3</v>
      </c>
      <c r="G185" s="284">
        <v>5.8000000000000003E-2</v>
      </c>
      <c r="H185" s="284">
        <v>0.01</v>
      </c>
      <c r="I185" s="284">
        <v>0.01</v>
      </c>
      <c r="J185" s="284">
        <v>5.5E-2</v>
      </c>
      <c r="K185" s="284">
        <v>5.0000000000000001E-3</v>
      </c>
      <c r="L185" s="284">
        <v>1.7999999999999999E-2</v>
      </c>
      <c r="M185" s="284">
        <v>5.0000000000000001E-3</v>
      </c>
      <c r="N185" s="277" t="s">
        <v>580</v>
      </c>
      <c r="O185" s="245" t="s">
        <v>530</v>
      </c>
    </row>
    <row r="186" spans="2:15" ht="15.75">
      <c r="B186" s="245" t="s">
        <v>283</v>
      </c>
      <c r="C186" s="284">
        <v>5.5E-2</v>
      </c>
      <c r="D186" s="284">
        <v>8.4000000000000005E-2</v>
      </c>
      <c r="E186" s="284">
        <v>4.2999999999999997E-2</v>
      </c>
      <c r="F186" s="284">
        <v>1E-3</v>
      </c>
      <c r="G186" s="284">
        <v>7.0000000000000007E-2</v>
      </c>
      <c r="H186" s="284">
        <v>0.01</v>
      </c>
      <c r="I186" s="284">
        <v>0.01</v>
      </c>
      <c r="J186" s="284">
        <v>5.5E-2</v>
      </c>
      <c r="K186" s="284">
        <v>5.0000000000000001E-3</v>
      </c>
      <c r="L186" s="284">
        <v>1.7999999999999999E-2</v>
      </c>
      <c r="M186" s="284">
        <v>5.0000000000000001E-3</v>
      </c>
      <c r="N186" s="277" t="s">
        <v>580</v>
      </c>
      <c r="O186" s="245" t="s">
        <v>530</v>
      </c>
    </row>
    <row r="187" spans="2:15" ht="15.75">
      <c r="B187" s="245" t="s">
        <v>285</v>
      </c>
      <c r="C187" s="284">
        <v>5.1999999999999998E-2</v>
      </c>
      <c r="D187" s="284">
        <v>6.4000000000000001E-2</v>
      </c>
      <c r="E187" s="284">
        <v>4.1000000000000002E-2</v>
      </c>
      <c r="F187" s="284">
        <v>1E-3</v>
      </c>
      <c r="G187" s="284">
        <v>5.8999999999999997E-2</v>
      </c>
      <c r="H187" s="284">
        <v>0.01</v>
      </c>
      <c r="I187" s="284">
        <v>0.01</v>
      </c>
      <c r="J187" s="284">
        <v>5.5E-2</v>
      </c>
      <c r="K187" s="284">
        <v>5.0000000000000001E-3</v>
      </c>
      <c r="L187" s="284">
        <v>1.7999999999999999E-2</v>
      </c>
      <c r="M187" s="284">
        <v>5.0000000000000001E-3</v>
      </c>
      <c r="N187" s="277" t="s">
        <v>580</v>
      </c>
      <c r="O187" s="245" t="s">
        <v>530</v>
      </c>
    </row>
    <row r="188" spans="2:15" ht="15.75">
      <c r="B188" s="245" t="s">
        <v>284</v>
      </c>
      <c r="C188" s="284">
        <v>5.5E-2</v>
      </c>
      <c r="D188" s="284">
        <v>7.0999999999999994E-2</v>
      </c>
      <c r="E188" s="284">
        <v>4.2999999999999997E-2</v>
      </c>
      <c r="F188" s="284">
        <v>1E-3</v>
      </c>
      <c r="G188" s="284">
        <v>6.5000000000000002E-2</v>
      </c>
      <c r="H188" s="284">
        <v>0.01</v>
      </c>
      <c r="I188" s="284">
        <v>0.01</v>
      </c>
      <c r="J188" s="284">
        <v>5.5E-2</v>
      </c>
      <c r="K188" s="284">
        <v>5.0000000000000001E-3</v>
      </c>
      <c r="L188" s="284">
        <v>1.7999999999999999E-2</v>
      </c>
      <c r="M188" s="284">
        <v>5.0000000000000001E-3</v>
      </c>
      <c r="N188" s="277" t="s">
        <v>580</v>
      </c>
      <c r="O188" s="245" t="s">
        <v>530</v>
      </c>
    </row>
    <row r="189" spans="2:15" ht="15.75">
      <c r="B189" s="245" t="s">
        <v>286</v>
      </c>
      <c r="C189" s="268">
        <v>5.2999999999999999E-2</v>
      </c>
      <c r="D189" s="268">
        <v>5.7000000000000002E-2</v>
      </c>
      <c r="E189" s="268">
        <v>4.1000000000000002E-2</v>
      </c>
      <c r="F189" s="268">
        <v>1E-3</v>
      </c>
      <c r="G189" s="268">
        <v>0.06</v>
      </c>
      <c r="H189" s="268">
        <v>0.01</v>
      </c>
      <c r="I189" s="268">
        <v>0.01</v>
      </c>
      <c r="J189" s="268">
        <v>5.5E-2</v>
      </c>
      <c r="K189" s="268">
        <v>5.0000000000000001E-3</v>
      </c>
      <c r="L189" s="268">
        <v>1.7999999999999999E-2</v>
      </c>
      <c r="M189" s="268">
        <v>5.0000000000000001E-3</v>
      </c>
      <c r="N189" s="277" t="s">
        <v>580</v>
      </c>
      <c r="O189" s="245" t="s">
        <v>530</v>
      </c>
    </row>
    <row r="190" spans="2:15">
      <c r="G190" s="285"/>
      <c r="H190" s="285"/>
      <c r="I190" s="285"/>
      <c r="J190" s="285"/>
      <c r="K190" s="285"/>
      <c r="L190" s="285"/>
      <c r="M190" s="285"/>
      <c r="N190" s="280"/>
      <c r="O190" s="280"/>
    </row>
    <row r="191" spans="2:15">
      <c r="B191" s="400" t="s">
        <v>520</v>
      </c>
      <c r="C191" s="400"/>
      <c r="D191" s="400"/>
      <c r="E191" s="400"/>
    </row>
    <row r="192" spans="2:15">
      <c r="B192" s="250" t="s">
        <v>107</v>
      </c>
      <c r="C192" s="250" t="s">
        <v>292</v>
      </c>
      <c r="D192" s="250" t="s">
        <v>222</v>
      </c>
      <c r="E192" s="250" t="s">
        <v>342</v>
      </c>
    </row>
    <row r="193" spans="2:17" ht="15.75">
      <c r="B193" s="241" t="s">
        <v>215</v>
      </c>
      <c r="C193" s="257">
        <v>2.6809999999999998E-3</v>
      </c>
      <c r="D193" s="241" t="s">
        <v>341</v>
      </c>
      <c r="E193" s="241" t="s">
        <v>398</v>
      </c>
    </row>
    <row r="194" spans="2:17" ht="15.75">
      <c r="B194" s="241" t="s">
        <v>216</v>
      </c>
      <c r="C194" s="257">
        <v>2.9999999999999999E-7</v>
      </c>
      <c r="D194" s="241" t="s">
        <v>341</v>
      </c>
      <c r="E194" s="241" t="s">
        <v>398</v>
      </c>
    </row>
    <row r="195" spans="2:17" ht="15.75">
      <c r="B195" s="241" t="s">
        <v>217</v>
      </c>
      <c r="C195" s="257">
        <v>2E-8</v>
      </c>
      <c r="D195" s="241" t="s">
        <v>341</v>
      </c>
      <c r="E195" s="241" t="s">
        <v>398</v>
      </c>
    </row>
    <row r="197" spans="2:17">
      <c r="B197" s="410" t="s">
        <v>150</v>
      </c>
      <c r="C197" s="410"/>
      <c r="D197" s="410"/>
      <c r="E197" s="410"/>
      <c r="F197" s="410"/>
      <c r="G197" s="410"/>
      <c r="H197" s="410"/>
      <c r="I197" s="410"/>
      <c r="J197" s="410"/>
      <c r="K197" s="410"/>
      <c r="L197" s="410"/>
      <c r="M197" s="410"/>
      <c r="N197" s="410"/>
      <c r="O197" s="410"/>
      <c r="P197" s="410"/>
      <c r="Q197" s="410"/>
    </row>
    <row r="199" spans="2:17">
      <c r="B199" s="400" t="s">
        <v>521</v>
      </c>
      <c r="C199" s="413"/>
      <c r="D199" s="413"/>
      <c r="E199" s="413"/>
      <c r="F199" s="413"/>
      <c r="G199" s="413"/>
      <c r="H199" s="413"/>
      <c r="I199" s="413"/>
      <c r="J199" s="413"/>
      <c r="K199" s="413"/>
      <c r="L199" s="413"/>
      <c r="M199" s="413"/>
      <c r="N199" s="413"/>
      <c r="O199" s="413"/>
      <c r="P199" s="413"/>
    </row>
    <row r="200" spans="2:17">
      <c r="B200" s="243"/>
      <c r="C200" s="403" t="s">
        <v>353</v>
      </c>
      <c r="D200" s="404"/>
      <c r="E200" s="404"/>
      <c r="F200" s="404"/>
      <c r="G200" s="404"/>
      <c r="H200" s="404"/>
      <c r="I200" s="404"/>
      <c r="J200" s="404"/>
      <c r="K200" s="404"/>
      <c r="L200" s="404"/>
      <c r="M200" s="404"/>
      <c r="N200" s="405"/>
      <c r="O200" s="34"/>
      <c r="P200" s="286"/>
      <c r="Q200" s="269"/>
    </row>
    <row r="201" spans="2:17">
      <c r="B201" s="250" t="s">
        <v>153</v>
      </c>
      <c r="C201" s="250" t="s">
        <v>154</v>
      </c>
      <c r="D201" s="250" t="s">
        <v>155</v>
      </c>
      <c r="E201" s="250" t="s">
        <v>156</v>
      </c>
      <c r="F201" s="250" t="s">
        <v>157</v>
      </c>
      <c r="G201" s="250" t="s">
        <v>158</v>
      </c>
      <c r="H201" s="250" t="s">
        <v>159</v>
      </c>
      <c r="I201" s="250" t="s">
        <v>160</v>
      </c>
      <c r="J201" s="250" t="s">
        <v>161</v>
      </c>
      <c r="K201" s="250" t="s">
        <v>162</v>
      </c>
      <c r="L201" s="250" t="s">
        <v>163</v>
      </c>
      <c r="M201" s="250" t="s">
        <v>164</v>
      </c>
      <c r="N201" s="250" t="s">
        <v>165</v>
      </c>
      <c r="O201" s="250" t="s">
        <v>460</v>
      </c>
      <c r="P201" s="250" t="s">
        <v>222</v>
      </c>
      <c r="Q201" s="250" t="s">
        <v>342</v>
      </c>
    </row>
    <row r="202" spans="2:17" ht="15.75">
      <c r="B202" s="287">
        <v>2006</v>
      </c>
      <c r="C202" s="252">
        <v>3.2199999999999999E-2</v>
      </c>
      <c r="D202" s="252">
        <v>3.4599999999999999E-2</v>
      </c>
      <c r="E202" s="252">
        <v>3.3700000000000001E-2</v>
      </c>
      <c r="F202" s="252">
        <v>2.75E-2</v>
      </c>
      <c r="G202" s="252">
        <v>3.1699999999999999E-2</v>
      </c>
      <c r="H202" s="252">
        <v>3.0599999999999999E-2</v>
      </c>
      <c r="I202" s="252">
        <v>3.5099999999999999E-2</v>
      </c>
      <c r="J202" s="252">
        <v>3.3599999999999998E-2</v>
      </c>
      <c r="K202" s="252">
        <v>3.8300000000000001E-2</v>
      </c>
      <c r="L202" s="252">
        <v>3.5999999999999997E-2</v>
      </c>
      <c r="M202" s="252">
        <v>2.6499999999999999E-2</v>
      </c>
      <c r="N202" s="252">
        <v>2.8000000000000001E-2</v>
      </c>
      <c r="O202" s="252">
        <f>AVERAGE(C202:N202)</f>
        <v>3.2316666666666667E-2</v>
      </c>
      <c r="P202" s="241" t="s">
        <v>581</v>
      </c>
      <c r="Q202" s="241" t="s">
        <v>532</v>
      </c>
    </row>
    <row r="203" spans="2:17" ht="15.75">
      <c r="B203" s="287">
        <v>2007</v>
      </c>
      <c r="C203" s="252">
        <v>2.29E-2</v>
      </c>
      <c r="D203" s="252">
        <v>1.95E-2</v>
      </c>
      <c r="E203" s="252">
        <v>1.95E-2</v>
      </c>
      <c r="F203" s="252">
        <v>1.9699999999999999E-2</v>
      </c>
      <c r="G203" s="252">
        <v>1.61E-2</v>
      </c>
      <c r="H203" s="252">
        <v>2.5600000000000001E-2</v>
      </c>
      <c r="I203" s="252">
        <v>3.1E-2</v>
      </c>
      <c r="J203" s="252">
        <v>3.2399999999999998E-2</v>
      </c>
      <c r="K203" s="252">
        <v>3.5499999999999997E-2</v>
      </c>
      <c r="L203" s="252">
        <v>3.7699999999999997E-2</v>
      </c>
      <c r="M203" s="252">
        <v>4.0599999999999997E-2</v>
      </c>
      <c r="N203" s="252">
        <v>4.9599999999999998E-2</v>
      </c>
      <c r="O203" s="252">
        <f t="shared" ref="O203:O210" si="2">AVERAGE(C203:N203)</f>
        <v>2.9174999999999996E-2</v>
      </c>
      <c r="P203" s="241" t="s">
        <v>581</v>
      </c>
      <c r="Q203" s="241" t="s">
        <v>532</v>
      </c>
    </row>
    <row r="204" spans="2:17" ht="15.75">
      <c r="B204" s="287">
        <v>2008</v>
      </c>
      <c r="C204" s="252">
        <v>5.8400000000000001E-2</v>
      </c>
      <c r="D204" s="252">
        <v>6.6799999999999998E-2</v>
      </c>
      <c r="E204" s="252">
        <v>5.9900000000000002E-2</v>
      </c>
      <c r="F204" s="252">
        <v>4.53E-2</v>
      </c>
      <c r="G204" s="252">
        <v>4.5900000000000003E-2</v>
      </c>
      <c r="H204" s="252">
        <v>5.21E-2</v>
      </c>
      <c r="I204" s="252">
        <v>4.3700000000000003E-2</v>
      </c>
      <c r="J204" s="252">
        <v>4.2500000000000003E-2</v>
      </c>
      <c r="K204" s="252">
        <v>4.1099999999999998E-2</v>
      </c>
      <c r="L204" s="252">
        <v>4.3799999999999999E-2</v>
      </c>
      <c r="M204" s="252">
        <v>3.3399999999999999E-2</v>
      </c>
      <c r="N204" s="252">
        <v>4.7699999999999999E-2</v>
      </c>
      <c r="O204" s="252">
        <f t="shared" si="2"/>
        <v>4.8383333333333334E-2</v>
      </c>
      <c r="P204" s="241" t="s">
        <v>581</v>
      </c>
      <c r="Q204" s="241" t="s">
        <v>532</v>
      </c>
    </row>
    <row r="205" spans="2:17" ht="15.75">
      <c r="B205" s="287">
        <v>2009</v>
      </c>
      <c r="C205" s="252">
        <v>2.81E-2</v>
      </c>
      <c r="D205" s="252">
        <v>2.3699999999999999E-2</v>
      </c>
      <c r="E205" s="252">
        <v>2.47E-2</v>
      </c>
      <c r="F205" s="252">
        <v>2.4500000000000001E-2</v>
      </c>
      <c r="G205" s="252">
        <v>4.0500000000000001E-2</v>
      </c>
      <c r="H205" s="252">
        <v>3.6900000000000002E-2</v>
      </c>
      <c r="I205" s="252">
        <v>2.41E-2</v>
      </c>
      <c r="J205" s="252">
        <v>1.9900000000000001E-2</v>
      </c>
      <c r="K205" s="252">
        <v>1.6199999999999999E-2</v>
      </c>
      <c r="L205" s="252">
        <v>1.7899999999999999E-2</v>
      </c>
      <c r="M205" s="252">
        <v>1.8100000000000002E-2</v>
      </c>
      <c r="N205" s="252">
        <v>1.9400000000000001E-2</v>
      </c>
      <c r="O205" s="252">
        <f t="shared" si="2"/>
        <v>2.4500000000000004E-2</v>
      </c>
      <c r="P205" s="241" t="s">
        <v>581</v>
      </c>
      <c r="Q205" s="241" t="s">
        <v>532</v>
      </c>
    </row>
    <row r="206" spans="2:17" ht="15.75">
      <c r="B206" s="287">
        <v>2010</v>
      </c>
      <c r="C206" s="252">
        <v>2.1100000000000001E-2</v>
      </c>
      <c r="D206" s="252">
        <v>2.8000000000000001E-2</v>
      </c>
      <c r="E206" s="252">
        <v>2.4299999999999999E-2</v>
      </c>
      <c r="F206" s="252">
        <v>2.3800000000000002E-2</v>
      </c>
      <c r="G206" s="252">
        <v>3.4099999999999998E-2</v>
      </c>
      <c r="H206" s="252">
        <v>5.0599999999999999E-2</v>
      </c>
      <c r="I206" s="252">
        <v>4.3499999999999997E-2</v>
      </c>
      <c r="J206" s="252">
        <v>7.7399999999999997E-2</v>
      </c>
      <c r="K206" s="252">
        <v>9.0700000000000003E-2</v>
      </c>
      <c r="L206" s="252">
        <v>8.1699999999999995E-2</v>
      </c>
      <c r="M206" s="252">
        <v>8.6900000000000005E-2</v>
      </c>
      <c r="N206" s="252">
        <v>5.3199999999999997E-2</v>
      </c>
      <c r="O206" s="252">
        <f t="shared" si="2"/>
        <v>5.1274999999999994E-2</v>
      </c>
      <c r="P206" s="241" t="s">
        <v>581</v>
      </c>
      <c r="Q206" s="241" t="s">
        <v>532</v>
      </c>
    </row>
    <row r="207" spans="2:17" ht="15.75">
      <c r="B207" s="287">
        <v>2011</v>
      </c>
      <c r="C207" s="252">
        <v>2.6200000000000001E-2</v>
      </c>
      <c r="D207" s="252">
        <v>2.8799999999999999E-2</v>
      </c>
      <c r="E207" s="252">
        <v>2.0799999999999999E-2</v>
      </c>
      <c r="F207" s="252">
        <v>1.9800000000000002E-2</v>
      </c>
      <c r="G207" s="252">
        <v>2.7E-2</v>
      </c>
      <c r="H207" s="252">
        <v>3.4099999999999998E-2</v>
      </c>
      <c r="I207" s="252">
        <v>3.0800000000000001E-2</v>
      </c>
      <c r="J207" s="252">
        <v>3.0099999999999998E-2</v>
      </c>
      <c r="K207" s="252">
        <v>2.7300000000000001E-2</v>
      </c>
      <c r="L207" s="252">
        <v>3.5000000000000003E-2</v>
      </c>
      <c r="M207" s="252">
        <v>3.56E-2</v>
      </c>
      <c r="N207" s="252">
        <v>3.49E-2</v>
      </c>
      <c r="O207" s="252">
        <f t="shared" si="2"/>
        <v>2.92E-2</v>
      </c>
      <c r="P207" s="241" t="s">
        <v>581</v>
      </c>
      <c r="Q207" s="241" t="s">
        <v>532</v>
      </c>
    </row>
    <row r="208" spans="2:17" ht="15.75">
      <c r="B208" s="287">
        <v>2012</v>
      </c>
      <c r="C208" s="252">
        <v>2.9399999999999999E-2</v>
      </c>
      <c r="D208" s="252">
        <v>3.2199999999999999E-2</v>
      </c>
      <c r="E208" s="252">
        <v>4.0500000000000001E-2</v>
      </c>
      <c r="F208" s="252">
        <v>6.4199999999999993E-2</v>
      </c>
      <c r="G208" s="252">
        <v>6.2E-2</v>
      </c>
      <c r="H208" s="252">
        <v>5.2200000000000003E-2</v>
      </c>
      <c r="I208" s="252">
        <v>3.9399999999999998E-2</v>
      </c>
      <c r="J208" s="252">
        <v>4.5999999999999999E-2</v>
      </c>
      <c r="K208" s="252">
        <v>7.8299999999999995E-2</v>
      </c>
      <c r="L208" s="252">
        <v>9.8400000000000001E-2</v>
      </c>
      <c r="M208" s="252">
        <v>0.12470000000000001</v>
      </c>
      <c r="N208" s="252">
        <v>0.1168</v>
      </c>
      <c r="O208" s="252">
        <f t="shared" si="2"/>
        <v>6.5341666666666673E-2</v>
      </c>
      <c r="P208" s="241" t="s">
        <v>581</v>
      </c>
      <c r="Q208" s="241" t="s">
        <v>532</v>
      </c>
    </row>
    <row r="209" spans="2:17" ht="15.75">
      <c r="B209" s="287">
        <v>2013</v>
      </c>
      <c r="C209" s="252">
        <v>0.11509999999999999</v>
      </c>
      <c r="D209" s="252">
        <v>0.109</v>
      </c>
      <c r="E209" s="252">
        <v>9.8100000000000007E-2</v>
      </c>
      <c r="F209" s="252">
        <v>9.5899999999999999E-2</v>
      </c>
      <c r="G209" s="252">
        <v>0.11509999999999999</v>
      </c>
      <c r="H209" s="252">
        <v>0.1079</v>
      </c>
      <c r="I209" s="252">
        <v>8.3799999999999999E-2</v>
      </c>
      <c r="J209" s="252">
        <v>8.3299999999999999E-2</v>
      </c>
      <c r="K209" s="252">
        <v>8.4000000000000005E-2</v>
      </c>
      <c r="L209" s="252">
        <v>8.3099999999999993E-2</v>
      </c>
      <c r="M209" s="252">
        <v>9.2999999999999999E-2</v>
      </c>
      <c r="N209" s="252">
        <v>8.4099999999999994E-2</v>
      </c>
      <c r="O209" s="252">
        <f t="shared" si="2"/>
        <v>9.6033333333333346E-2</v>
      </c>
      <c r="P209" s="241" t="s">
        <v>581</v>
      </c>
      <c r="Q209" s="241" t="s">
        <v>532</v>
      </c>
    </row>
    <row r="210" spans="2:17" ht="15.75">
      <c r="B210" s="287">
        <v>2014</v>
      </c>
      <c r="C210" s="252">
        <v>9.11E-2</v>
      </c>
      <c r="D210" s="252">
        <v>0.1169</v>
      </c>
      <c r="E210" s="252">
        <v>0.12379999999999999</v>
      </c>
      <c r="F210" s="252">
        <v>0.13100000000000001</v>
      </c>
      <c r="G210" s="252">
        <v>0.14219999999999999</v>
      </c>
      <c r="H210" s="252">
        <v>0.14399999999999999</v>
      </c>
      <c r="I210" s="252">
        <v>0.1464</v>
      </c>
      <c r="J210" s="252">
        <v>0.1578</v>
      </c>
      <c r="K210" s="252">
        <v>0.1431</v>
      </c>
      <c r="L210" s="252">
        <v>0.14130000000000001</v>
      </c>
      <c r="M210" s="252">
        <v>0.15140000000000001</v>
      </c>
      <c r="N210" s="252">
        <v>0.1368</v>
      </c>
      <c r="O210" s="252">
        <f t="shared" si="2"/>
        <v>0.13548333333333332</v>
      </c>
      <c r="P210" s="241" t="s">
        <v>581</v>
      </c>
      <c r="Q210" s="241" t="s">
        <v>532</v>
      </c>
    </row>
    <row r="212" spans="2:17">
      <c r="B212" s="411" t="s">
        <v>151</v>
      </c>
      <c r="C212" s="411"/>
      <c r="D212" s="411"/>
      <c r="E212" s="411"/>
      <c r="F212" s="411"/>
      <c r="G212" s="411"/>
      <c r="H212" s="411"/>
      <c r="I212" s="411"/>
      <c r="J212" s="411"/>
      <c r="K212" s="411"/>
      <c r="L212" s="411"/>
      <c r="M212" s="411"/>
      <c r="N212" s="411"/>
      <c r="O212" s="411"/>
      <c r="P212" s="411"/>
      <c r="Q212" s="411"/>
    </row>
    <row r="214" spans="2:17">
      <c r="B214" s="400" t="s">
        <v>522</v>
      </c>
      <c r="C214" s="400"/>
      <c r="D214" s="400"/>
      <c r="E214" s="400"/>
    </row>
    <row r="215" spans="2:17">
      <c r="B215" s="250" t="s">
        <v>58</v>
      </c>
      <c r="C215" s="250" t="s">
        <v>292</v>
      </c>
      <c r="D215" s="250" t="s">
        <v>222</v>
      </c>
      <c r="E215" s="250" t="s">
        <v>342</v>
      </c>
    </row>
    <row r="216" spans="2:17" ht="15.75">
      <c r="B216" s="241" t="s">
        <v>100</v>
      </c>
      <c r="C216" s="284">
        <v>10.260999999999999</v>
      </c>
      <c r="D216" s="241" t="s">
        <v>582</v>
      </c>
      <c r="E216" s="241" t="s">
        <v>367</v>
      </c>
    </row>
    <row r="217" spans="2:17" ht="15.75">
      <c r="B217" s="241" t="s">
        <v>101</v>
      </c>
      <c r="C217" s="284">
        <v>10.114000000000001</v>
      </c>
      <c r="D217" s="241" t="s">
        <v>582</v>
      </c>
      <c r="E217" s="241" t="s">
        <v>367</v>
      </c>
    </row>
    <row r="218" spans="2:17" ht="15.75">
      <c r="B218" s="241" t="s">
        <v>102</v>
      </c>
      <c r="C218" s="284">
        <v>16.675000000000001</v>
      </c>
      <c r="D218" s="241" t="s">
        <v>582</v>
      </c>
      <c r="E218" s="241" t="s">
        <v>367</v>
      </c>
    </row>
    <row r="220" spans="2:17">
      <c r="B220" s="412" t="s">
        <v>173</v>
      </c>
      <c r="C220" s="412"/>
      <c r="D220" s="412"/>
      <c r="E220" s="412"/>
      <c r="F220" s="412"/>
      <c r="G220" s="412"/>
      <c r="H220" s="412"/>
      <c r="I220" s="412"/>
      <c r="J220" s="412"/>
      <c r="K220" s="412"/>
      <c r="L220" s="412"/>
      <c r="M220" s="412"/>
      <c r="N220" s="412"/>
      <c r="O220" s="412"/>
      <c r="P220" s="412"/>
      <c r="Q220" s="412"/>
    </row>
    <row r="222" spans="2:17">
      <c r="B222" s="400" t="s">
        <v>523</v>
      </c>
      <c r="C222" s="400"/>
      <c r="D222" s="400"/>
      <c r="E222" s="400"/>
      <c r="F222" s="400"/>
      <c r="G222" s="400"/>
    </row>
    <row r="223" spans="2:17">
      <c r="B223" s="250" t="s">
        <v>4</v>
      </c>
      <c r="C223" s="250" t="s">
        <v>61</v>
      </c>
      <c r="D223" s="250" t="s">
        <v>232</v>
      </c>
      <c r="E223" s="250" t="s">
        <v>292</v>
      </c>
      <c r="F223" s="250" t="s">
        <v>222</v>
      </c>
      <c r="G223" s="250" t="s">
        <v>342</v>
      </c>
    </row>
    <row r="224" spans="2:17" ht="15.75">
      <c r="B224" s="241" t="s">
        <v>21</v>
      </c>
      <c r="C224" s="241" t="s">
        <v>63</v>
      </c>
      <c r="D224" s="241" t="s">
        <v>225</v>
      </c>
      <c r="E224" s="288">
        <v>1.0266666666666666</v>
      </c>
      <c r="F224" s="241" t="s">
        <v>583</v>
      </c>
      <c r="G224" s="241" t="s">
        <v>368</v>
      </c>
    </row>
    <row r="225" spans="2:7" ht="15.75">
      <c r="B225" s="241" t="s">
        <v>22</v>
      </c>
      <c r="C225" s="241" t="s">
        <v>21</v>
      </c>
      <c r="D225" s="241" t="s">
        <v>64</v>
      </c>
      <c r="E225" s="288">
        <v>1.7599999999999998</v>
      </c>
      <c r="F225" s="241" t="s">
        <v>583</v>
      </c>
      <c r="G225" s="241" t="s">
        <v>368</v>
      </c>
    </row>
    <row r="226" spans="2:7" ht="15.75">
      <c r="B226" s="241" t="s">
        <v>22</v>
      </c>
      <c r="C226" s="241" t="s">
        <v>21</v>
      </c>
      <c r="D226" s="241" t="s">
        <v>65</v>
      </c>
      <c r="E226" s="288">
        <v>1.2833333333333332</v>
      </c>
      <c r="F226" s="241" t="s">
        <v>583</v>
      </c>
      <c r="G226" s="241" t="s">
        <v>373</v>
      </c>
    </row>
    <row r="227" spans="2:7" ht="15.75">
      <c r="B227" s="241" t="s">
        <v>23</v>
      </c>
      <c r="C227" s="241" t="s">
        <v>21</v>
      </c>
      <c r="D227" s="241" t="s">
        <v>225</v>
      </c>
      <c r="E227" s="288">
        <v>0.69666666666666666</v>
      </c>
      <c r="F227" s="241" t="s">
        <v>583</v>
      </c>
      <c r="G227" s="241" t="s">
        <v>368</v>
      </c>
    </row>
    <row r="228" spans="2:7" ht="15.75">
      <c r="B228" s="241" t="s">
        <v>20</v>
      </c>
      <c r="C228" s="241" t="s">
        <v>21</v>
      </c>
      <c r="D228" s="241" t="s">
        <v>11</v>
      </c>
      <c r="E228" s="288">
        <v>0.43999999999999995</v>
      </c>
      <c r="F228" s="241" t="s">
        <v>583</v>
      </c>
      <c r="G228" s="241" t="s">
        <v>368</v>
      </c>
    </row>
    <row r="229" spans="2:7" ht="15.75">
      <c r="B229" s="241" t="s">
        <v>20</v>
      </c>
      <c r="C229" s="241" t="s">
        <v>21</v>
      </c>
      <c r="D229" s="241" t="s">
        <v>174</v>
      </c>
      <c r="E229" s="288">
        <v>-0.87999999999999989</v>
      </c>
      <c r="F229" s="241" t="s">
        <v>583</v>
      </c>
      <c r="G229" s="241" t="s">
        <v>368</v>
      </c>
    </row>
    <row r="230" spans="2:7" ht="15.75">
      <c r="B230" s="241" t="s">
        <v>20</v>
      </c>
      <c r="C230" s="241" t="s">
        <v>22</v>
      </c>
      <c r="D230" s="241" t="s">
        <v>66</v>
      </c>
      <c r="E230" s="288">
        <v>-0.91666666666666663</v>
      </c>
      <c r="F230" s="241" t="s">
        <v>583</v>
      </c>
      <c r="G230" s="241" t="s">
        <v>368</v>
      </c>
    </row>
    <row r="231" spans="2:7" ht="15.75">
      <c r="B231" s="241" t="s">
        <v>20</v>
      </c>
      <c r="C231" s="241" t="s">
        <v>22</v>
      </c>
      <c r="D231" s="241" t="s">
        <v>67</v>
      </c>
      <c r="E231" s="288">
        <v>-0.16133333333333333</v>
      </c>
      <c r="F231" s="241" t="s">
        <v>583</v>
      </c>
      <c r="G231" s="241" t="s">
        <v>368</v>
      </c>
    </row>
    <row r="232" spans="2:7" ht="15.75">
      <c r="B232" s="241" t="s">
        <v>20</v>
      </c>
      <c r="C232" s="241" t="s">
        <v>347</v>
      </c>
      <c r="D232" s="241" t="s">
        <v>11</v>
      </c>
      <c r="E232" s="288">
        <v>-3.120333333333333</v>
      </c>
      <c r="F232" s="241" t="s">
        <v>583</v>
      </c>
      <c r="G232" s="241" t="s">
        <v>372</v>
      </c>
    </row>
    <row r="233" spans="2:7" ht="15.75">
      <c r="B233" s="241" t="s">
        <v>22</v>
      </c>
      <c r="C233" s="241" t="s">
        <v>347</v>
      </c>
      <c r="D233" s="241" t="s">
        <v>225</v>
      </c>
      <c r="E233" s="288">
        <v>2.09</v>
      </c>
      <c r="F233" s="241" t="s">
        <v>583</v>
      </c>
      <c r="G233" s="241" t="s">
        <v>372</v>
      </c>
    </row>
    <row r="234" spans="2:7" ht="15.75">
      <c r="B234" s="241" t="s">
        <v>23</v>
      </c>
      <c r="C234" s="241" t="s">
        <v>347</v>
      </c>
      <c r="D234" s="241" t="s">
        <v>225</v>
      </c>
      <c r="E234" s="288">
        <v>-0.94233333333333336</v>
      </c>
      <c r="F234" s="241" t="s">
        <v>583</v>
      </c>
      <c r="G234" s="241" t="s">
        <v>372</v>
      </c>
    </row>
    <row r="235" spans="2:7" ht="15.75">
      <c r="B235" s="241" t="s">
        <v>347</v>
      </c>
      <c r="C235" s="241" t="s">
        <v>346</v>
      </c>
      <c r="D235" s="241" t="s">
        <v>225</v>
      </c>
      <c r="E235" s="288">
        <v>2.2476666666666665</v>
      </c>
      <c r="F235" s="241" t="s">
        <v>583</v>
      </c>
      <c r="G235" s="241" t="s">
        <v>371</v>
      </c>
    </row>
    <row r="236" spans="2:7" ht="15.75">
      <c r="B236" s="241" t="s">
        <v>20</v>
      </c>
      <c r="C236" s="241" t="s">
        <v>68</v>
      </c>
      <c r="D236" s="241" t="s">
        <v>225</v>
      </c>
      <c r="E236" s="288">
        <v>-0.64899999999999991</v>
      </c>
      <c r="F236" s="241" t="s">
        <v>583</v>
      </c>
      <c r="G236" s="241" t="s">
        <v>369</v>
      </c>
    </row>
    <row r="237" spans="2:7" ht="15.75">
      <c r="B237" s="241" t="s">
        <v>20</v>
      </c>
      <c r="C237" s="241" t="s">
        <v>69</v>
      </c>
      <c r="D237" s="241" t="s">
        <v>225</v>
      </c>
      <c r="E237" s="288">
        <v>1.1219999999999999</v>
      </c>
      <c r="F237" s="241" t="s">
        <v>583</v>
      </c>
      <c r="G237" s="241" t="s">
        <v>369</v>
      </c>
    </row>
    <row r="238" spans="2:7" ht="15.75">
      <c r="B238" s="241" t="s">
        <v>20</v>
      </c>
      <c r="C238" s="241" t="s">
        <v>70</v>
      </c>
      <c r="D238" s="241" t="s">
        <v>225</v>
      </c>
      <c r="E238" s="288">
        <v>1.3859999999999999</v>
      </c>
      <c r="F238" s="241" t="s">
        <v>583</v>
      </c>
      <c r="G238" s="241" t="s">
        <v>369</v>
      </c>
    </row>
    <row r="239" spans="2:7" ht="15.75">
      <c r="B239" s="241" t="s">
        <v>23</v>
      </c>
      <c r="C239" s="241" t="s">
        <v>63</v>
      </c>
      <c r="D239" s="241" t="s">
        <v>225</v>
      </c>
      <c r="E239" s="288">
        <v>6.2333299999999996</v>
      </c>
      <c r="F239" s="241" t="s">
        <v>583</v>
      </c>
      <c r="G239" s="241" t="s">
        <v>481</v>
      </c>
    </row>
    <row r="240" spans="2:7" ht="15.75">
      <c r="B240" s="241" t="s">
        <v>23</v>
      </c>
      <c r="C240" s="241" t="s">
        <v>73</v>
      </c>
      <c r="D240" s="241" t="s">
        <v>225</v>
      </c>
      <c r="E240" s="288">
        <v>6.2333299999999996</v>
      </c>
      <c r="F240" s="241" t="s">
        <v>583</v>
      </c>
      <c r="G240" s="241" t="s">
        <v>481</v>
      </c>
    </row>
    <row r="241" spans="2:7" ht="15.75">
      <c r="B241" s="241" t="s">
        <v>20</v>
      </c>
      <c r="C241" s="241" t="s">
        <v>63</v>
      </c>
      <c r="D241" s="241" t="s">
        <v>225</v>
      </c>
      <c r="E241" s="288">
        <v>0.70766666666666667</v>
      </c>
      <c r="F241" s="241" t="s">
        <v>583</v>
      </c>
      <c r="G241" s="241" t="s">
        <v>481</v>
      </c>
    </row>
    <row r="242" spans="2:7" ht="15.75">
      <c r="B242" s="241" t="s">
        <v>22</v>
      </c>
      <c r="C242" s="241" t="s">
        <v>63</v>
      </c>
      <c r="D242" s="241" t="s">
        <v>225</v>
      </c>
      <c r="E242" s="288">
        <v>6.2333299999999996</v>
      </c>
      <c r="F242" s="241" t="s">
        <v>583</v>
      </c>
      <c r="G242" s="241" t="s">
        <v>481</v>
      </c>
    </row>
    <row r="243" spans="2:7" ht="15.75">
      <c r="B243" s="241" t="s">
        <v>21</v>
      </c>
      <c r="C243" s="241" t="s">
        <v>22</v>
      </c>
      <c r="D243" s="241" t="s">
        <v>225</v>
      </c>
      <c r="E243" s="288">
        <v>-0.91666666666666663</v>
      </c>
      <c r="F243" s="241" t="s">
        <v>583</v>
      </c>
      <c r="G243" s="241" t="s">
        <v>370</v>
      </c>
    </row>
    <row r="244" spans="2:7" ht="15.75">
      <c r="B244" s="241" t="s">
        <v>23</v>
      </c>
      <c r="C244" s="241" t="s">
        <v>22</v>
      </c>
      <c r="D244" s="241" t="s">
        <v>225</v>
      </c>
      <c r="E244" s="288">
        <v>-0.91666666666666663</v>
      </c>
      <c r="F244" s="241" t="s">
        <v>583</v>
      </c>
      <c r="G244" s="241" t="s">
        <v>370</v>
      </c>
    </row>
    <row r="245" spans="2:7" ht="15.75">
      <c r="B245" s="241" t="s">
        <v>68</v>
      </c>
      <c r="C245" s="241" t="s">
        <v>70</v>
      </c>
      <c r="D245" s="241" t="s">
        <v>225</v>
      </c>
      <c r="E245" s="288">
        <v>3.6659999999999999</v>
      </c>
      <c r="F245" s="241" t="s">
        <v>583</v>
      </c>
      <c r="G245" s="241" t="s">
        <v>481</v>
      </c>
    </row>
    <row r="247" spans="2:7">
      <c r="B247" s="400" t="s">
        <v>533</v>
      </c>
      <c r="C247" s="400"/>
      <c r="D247" s="400"/>
      <c r="E247" s="400"/>
      <c r="F247" s="400"/>
    </row>
    <row r="248" spans="2:7">
      <c r="B248" s="36" t="s">
        <v>58</v>
      </c>
      <c r="C248" s="36" t="s">
        <v>232</v>
      </c>
      <c r="D248" s="36" t="s">
        <v>292</v>
      </c>
      <c r="E248" s="36" t="s">
        <v>222</v>
      </c>
      <c r="F248" s="36" t="s">
        <v>342</v>
      </c>
    </row>
    <row r="249" spans="2:7" ht="15.75">
      <c r="B249" s="241" t="s">
        <v>348</v>
      </c>
      <c r="C249" s="241" t="s">
        <v>225</v>
      </c>
      <c r="D249" s="256">
        <v>2.4989999999999999E-3</v>
      </c>
      <c r="E249" s="241" t="s">
        <v>584</v>
      </c>
      <c r="F249" s="241" t="s">
        <v>384</v>
      </c>
    </row>
    <row r="286" spans="7:14">
      <c r="G286" s="253"/>
      <c r="H286" s="253"/>
      <c r="I286" s="253"/>
      <c r="J286" s="253"/>
      <c r="K286" s="253"/>
      <c r="L286" s="253"/>
      <c r="M286" s="253"/>
      <c r="N286" s="253"/>
    </row>
    <row r="287" spans="7:14" ht="15" customHeight="1"/>
    <row r="302" ht="15" customHeight="1"/>
  </sheetData>
  <mergeCells count="52">
    <mergeCell ref="B15:Q15"/>
    <mergeCell ref="B19:I19"/>
    <mergeCell ref="L120:L121"/>
    <mergeCell ref="P120:P121"/>
    <mergeCell ref="O120:O121"/>
    <mergeCell ref="N120:N121"/>
    <mergeCell ref="D120:F120"/>
    <mergeCell ref="D20:I20"/>
    <mergeCell ref="D21:F21"/>
    <mergeCell ref="G21:I21"/>
    <mergeCell ref="G120:G121"/>
    <mergeCell ref="B89:F89"/>
    <mergeCell ref="B66:F66"/>
    <mergeCell ref="B81:F81"/>
    <mergeCell ref="B65:F65"/>
    <mergeCell ref="B17:Q17"/>
    <mergeCell ref="C41:H41"/>
    <mergeCell ref="B40:G40"/>
    <mergeCell ref="D96:J96"/>
    <mergeCell ref="B95:J95"/>
    <mergeCell ref="B35:F35"/>
    <mergeCell ref="D119:Q119"/>
    <mergeCell ref="M120:M121"/>
    <mergeCell ref="K120:K121"/>
    <mergeCell ref="B51:F51"/>
    <mergeCell ref="B222:G222"/>
    <mergeCell ref="B214:E214"/>
    <mergeCell ref="B197:Q197"/>
    <mergeCell ref="B212:Q212"/>
    <mergeCell ref="B220:Q220"/>
    <mergeCell ref="B199:P199"/>
    <mergeCell ref="B118:Q118"/>
    <mergeCell ref="Q120:Q121"/>
    <mergeCell ref="F161:F162"/>
    <mergeCell ref="H161:H162"/>
    <mergeCell ref="K161:K162"/>
    <mergeCell ref="L161:L162"/>
    <mergeCell ref="B247:F247"/>
    <mergeCell ref="B191:E191"/>
    <mergeCell ref="G161:G162"/>
    <mergeCell ref="C200:N200"/>
    <mergeCell ref="J120:J121"/>
    <mergeCell ref="I120:I121"/>
    <mergeCell ref="H120:H121"/>
    <mergeCell ref="B159:O159"/>
    <mergeCell ref="C160:O160"/>
    <mergeCell ref="M161:M162"/>
    <mergeCell ref="C161:E161"/>
    <mergeCell ref="O161:O162"/>
    <mergeCell ref="N161:N162"/>
    <mergeCell ref="I161:I162"/>
    <mergeCell ref="J161:J16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O202:O210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FatoresVariaveis">
    <tabColor theme="5"/>
  </sheetPr>
  <dimension ref="A13:F103"/>
  <sheetViews>
    <sheetView showGridLines="0" showRowColHeaders="0" workbookViewId="0"/>
  </sheetViews>
  <sheetFormatPr defaultRowHeight="12.75"/>
  <cols>
    <col min="1" max="1" width="3.7109375" style="5" customWidth="1"/>
    <col min="2" max="2" width="38.42578125" style="5" bestFit="1" customWidth="1"/>
    <col min="3" max="3" width="25.7109375" style="5" bestFit="1" customWidth="1"/>
    <col min="4" max="4" width="18.5703125" style="5" bestFit="1" customWidth="1"/>
    <col min="5" max="5" width="20.42578125" style="5" bestFit="1" customWidth="1"/>
    <col min="6" max="6" width="30.28515625" style="5" bestFit="1" customWidth="1"/>
    <col min="7" max="16384" width="9.140625" style="5"/>
  </cols>
  <sheetData>
    <row r="13" spans="1:6" ht="14.25" customHeight="1"/>
    <row r="14" spans="1:6">
      <c r="A14" s="234"/>
      <c r="B14" s="425" t="s">
        <v>430</v>
      </c>
      <c r="C14" s="425"/>
      <c r="D14" s="425"/>
      <c r="E14" s="425"/>
      <c r="F14" s="426"/>
    </row>
    <row r="16" spans="1:6">
      <c r="B16" s="424" t="s">
        <v>441</v>
      </c>
      <c r="C16" s="424"/>
      <c r="D16" s="424"/>
    </row>
    <row r="17" spans="2:6">
      <c r="B17" s="289" t="s">
        <v>107</v>
      </c>
      <c r="C17" s="289" t="s">
        <v>232</v>
      </c>
      <c r="D17" s="289" t="s">
        <v>431</v>
      </c>
      <c r="E17" s="289" t="s">
        <v>487</v>
      </c>
    </row>
    <row r="18" spans="2:6" ht="15.75">
      <c r="B18" s="241" t="s">
        <v>215</v>
      </c>
      <c r="C18" s="241" t="s">
        <v>225</v>
      </c>
      <c r="D18" s="290">
        <v>1</v>
      </c>
      <c r="E18" s="291" t="s">
        <v>498</v>
      </c>
    </row>
    <row r="19" spans="2:6" ht="15.75">
      <c r="B19" s="241" t="s">
        <v>217</v>
      </c>
      <c r="C19" s="241" t="s">
        <v>225</v>
      </c>
      <c r="D19" s="290">
        <v>298</v>
      </c>
      <c r="E19" s="291" t="s">
        <v>498</v>
      </c>
    </row>
    <row r="20" spans="2:6" ht="15.75">
      <c r="B20" s="241" t="s">
        <v>216</v>
      </c>
      <c r="C20" s="241" t="s">
        <v>225</v>
      </c>
      <c r="D20" s="290">
        <v>25</v>
      </c>
      <c r="E20" s="291" t="s">
        <v>498</v>
      </c>
    </row>
    <row r="22" spans="2:6">
      <c r="B22" s="424" t="s">
        <v>435</v>
      </c>
      <c r="C22" s="424"/>
      <c r="D22" s="424"/>
      <c r="E22" s="424"/>
    </row>
    <row r="23" spans="2:6">
      <c r="B23" s="289" t="s">
        <v>107</v>
      </c>
      <c r="C23" s="289" t="s">
        <v>232</v>
      </c>
      <c r="D23" s="289" t="s">
        <v>432</v>
      </c>
      <c r="E23" s="289" t="s">
        <v>433</v>
      </c>
    </row>
    <row r="24" spans="2:6" ht="15.75">
      <c r="B24" s="241" t="s">
        <v>109</v>
      </c>
      <c r="C24" s="241" t="s">
        <v>225</v>
      </c>
      <c r="D24" s="241" t="s">
        <v>215</v>
      </c>
      <c r="E24" s="251">
        <v>1.57</v>
      </c>
    </row>
    <row r="25" spans="2:6" ht="15.75">
      <c r="B25" s="241" t="s">
        <v>253</v>
      </c>
      <c r="C25" s="241" t="s">
        <v>225</v>
      </c>
      <c r="D25" s="241" t="s">
        <v>217</v>
      </c>
      <c r="E25" s="251">
        <v>0.96</v>
      </c>
    </row>
    <row r="27" spans="2:6">
      <c r="B27" s="424" t="s">
        <v>503</v>
      </c>
      <c r="C27" s="424"/>
      <c r="D27" s="424"/>
      <c r="E27" s="424"/>
    </row>
    <row r="28" spans="2:6">
      <c r="B28" s="289" t="s">
        <v>434</v>
      </c>
      <c r="C28" s="289" t="s">
        <v>232</v>
      </c>
      <c r="D28" s="289" t="s">
        <v>504</v>
      </c>
      <c r="E28" s="289" t="s">
        <v>222</v>
      </c>
      <c r="F28" s="289" t="s">
        <v>487</v>
      </c>
    </row>
    <row r="29" spans="2:6">
      <c r="B29" s="241" t="s">
        <v>499</v>
      </c>
      <c r="C29" s="241" t="s">
        <v>500</v>
      </c>
      <c r="D29" s="292">
        <v>100</v>
      </c>
      <c r="E29" s="291" t="s">
        <v>224</v>
      </c>
      <c r="F29" s="291" t="s">
        <v>488</v>
      </c>
    </row>
    <row r="30" spans="2:6">
      <c r="B30" s="241" t="s">
        <v>489</v>
      </c>
      <c r="C30" s="241" t="s">
        <v>493</v>
      </c>
      <c r="D30" s="292">
        <v>98</v>
      </c>
      <c r="E30" s="291" t="s">
        <v>224</v>
      </c>
      <c r="F30" s="291" t="s">
        <v>488</v>
      </c>
    </row>
    <row r="31" spans="2:6">
      <c r="B31" s="241" t="s">
        <v>490</v>
      </c>
      <c r="C31" s="241" t="s">
        <v>494</v>
      </c>
      <c r="D31" s="292">
        <v>95</v>
      </c>
      <c r="E31" s="291" t="s">
        <v>224</v>
      </c>
      <c r="F31" s="291" t="s">
        <v>488</v>
      </c>
    </row>
    <row r="32" spans="2:6">
      <c r="B32" s="241" t="s">
        <v>491</v>
      </c>
      <c r="C32" s="241" t="s">
        <v>495</v>
      </c>
      <c r="D32" s="292">
        <v>94</v>
      </c>
      <c r="E32" s="291" t="s">
        <v>224</v>
      </c>
      <c r="F32" s="291" t="s">
        <v>488</v>
      </c>
    </row>
    <row r="33" spans="2:6">
      <c r="B33" s="241" t="s">
        <v>492</v>
      </c>
      <c r="C33" s="241" t="s">
        <v>496</v>
      </c>
      <c r="D33" s="292">
        <v>93</v>
      </c>
      <c r="E33" s="291" t="s">
        <v>224</v>
      </c>
      <c r="F33" s="291" t="s">
        <v>488</v>
      </c>
    </row>
    <row r="35" spans="2:6">
      <c r="B35" s="400" t="s">
        <v>511</v>
      </c>
      <c r="C35" s="400"/>
      <c r="D35" s="400"/>
      <c r="E35" s="400"/>
      <c r="F35" s="400"/>
    </row>
    <row r="36" spans="2:6">
      <c r="B36" s="239" t="s">
        <v>58</v>
      </c>
      <c r="C36" s="239" t="s">
        <v>232</v>
      </c>
      <c r="D36" s="239" t="s">
        <v>365</v>
      </c>
      <c r="E36" s="239" t="s">
        <v>222</v>
      </c>
      <c r="F36" s="239" t="s">
        <v>342</v>
      </c>
    </row>
    <row r="37" spans="2:6">
      <c r="B37" s="293" t="s">
        <v>293</v>
      </c>
      <c r="C37" s="241" t="s">
        <v>338</v>
      </c>
      <c r="D37" s="294">
        <v>1.6</v>
      </c>
      <c r="E37" s="241" t="s">
        <v>224</v>
      </c>
      <c r="F37" s="241" t="s">
        <v>366</v>
      </c>
    </row>
    <row r="38" spans="2:6">
      <c r="B38" s="293" t="s">
        <v>293</v>
      </c>
      <c r="C38" s="241" t="s">
        <v>316</v>
      </c>
      <c r="D38" s="294">
        <v>3</v>
      </c>
      <c r="E38" s="241" t="s">
        <v>224</v>
      </c>
      <c r="F38" s="241" t="s">
        <v>366</v>
      </c>
    </row>
    <row r="39" spans="2:6">
      <c r="B39" s="293" t="s">
        <v>60</v>
      </c>
      <c r="C39" s="241" t="s">
        <v>225</v>
      </c>
      <c r="D39" s="294">
        <v>1.4</v>
      </c>
      <c r="E39" s="241" t="s">
        <v>224</v>
      </c>
      <c r="F39" s="241" t="s">
        <v>366</v>
      </c>
    </row>
    <row r="40" spans="2:6">
      <c r="B40" s="293" t="s">
        <v>297</v>
      </c>
      <c r="C40" s="241" t="s">
        <v>225</v>
      </c>
      <c r="D40" s="294">
        <v>1.8</v>
      </c>
      <c r="E40" s="241" t="s">
        <v>224</v>
      </c>
      <c r="F40" s="241" t="s">
        <v>366</v>
      </c>
    </row>
    <row r="41" spans="2:6">
      <c r="B41" s="293" t="s">
        <v>57</v>
      </c>
      <c r="C41" s="241" t="s">
        <v>225</v>
      </c>
      <c r="D41" s="251">
        <v>3.1300000000000001E-2</v>
      </c>
      <c r="E41" s="241" t="s">
        <v>224</v>
      </c>
      <c r="F41" s="241" t="s">
        <v>529</v>
      </c>
    </row>
    <row r="42" spans="2:6">
      <c r="B42" s="293" t="s">
        <v>59</v>
      </c>
      <c r="C42" s="241" t="s">
        <v>225</v>
      </c>
      <c r="D42" s="251">
        <v>1.4</v>
      </c>
      <c r="E42" s="241" t="s">
        <v>224</v>
      </c>
      <c r="F42" s="241" t="s">
        <v>510</v>
      </c>
    </row>
    <row r="44" spans="2:6">
      <c r="B44" s="400" t="s">
        <v>512</v>
      </c>
      <c r="C44" s="400"/>
      <c r="D44" s="400"/>
      <c r="E44" s="400"/>
      <c r="F44" s="400"/>
    </row>
    <row r="45" spans="2:6">
      <c r="B45" s="240" t="s">
        <v>94</v>
      </c>
      <c r="C45" s="240" t="s">
        <v>232</v>
      </c>
      <c r="D45" s="240" t="s">
        <v>375</v>
      </c>
      <c r="E45" s="240" t="s">
        <v>222</v>
      </c>
      <c r="F45" s="240" t="s">
        <v>342</v>
      </c>
    </row>
    <row r="46" spans="2:6">
      <c r="B46" s="245" t="s">
        <v>118</v>
      </c>
      <c r="C46" s="241" t="s">
        <v>17</v>
      </c>
      <c r="D46" s="295">
        <v>1.4</v>
      </c>
      <c r="E46" s="241" t="s">
        <v>376</v>
      </c>
      <c r="F46" s="245" t="s">
        <v>473</v>
      </c>
    </row>
    <row r="47" spans="2:6">
      <c r="B47" s="245" t="s">
        <v>152</v>
      </c>
      <c r="C47" s="241" t="s">
        <v>17</v>
      </c>
      <c r="D47" s="295">
        <v>2.0499999999999998</v>
      </c>
      <c r="E47" s="241" t="s">
        <v>376</v>
      </c>
      <c r="F47" s="245" t="s">
        <v>473</v>
      </c>
    </row>
    <row r="48" spans="2:6">
      <c r="B48" s="245" t="s">
        <v>6</v>
      </c>
      <c r="C48" s="241" t="s">
        <v>17</v>
      </c>
      <c r="D48" s="295">
        <v>0.25</v>
      </c>
      <c r="E48" s="241" t="s">
        <v>376</v>
      </c>
      <c r="F48" s="245" t="s">
        <v>473</v>
      </c>
    </row>
    <row r="49" spans="2:6">
      <c r="B49" s="245" t="s">
        <v>379</v>
      </c>
      <c r="C49" s="241" t="s">
        <v>17</v>
      </c>
      <c r="D49" s="295">
        <v>7</v>
      </c>
      <c r="E49" s="241" t="s">
        <v>376</v>
      </c>
      <c r="F49" s="245" t="s">
        <v>473</v>
      </c>
    </row>
    <row r="50" spans="2:6">
      <c r="B50" s="245" t="s">
        <v>131</v>
      </c>
      <c r="C50" s="241" t="s">
        <v>17</v>
      </c>
      <c r="D50" s="295">
        <v>0.4</v>
      </c>
      <c r="E50" s="241" t="s">
        <v>376</v>
      </c>
      <c r="F50" s="245" t="s">
        <v>473</v>
      </c>
    </row>
    <row r="51" spans="2:6">
      <c r="B51" s="245" t="s">
        <v>377</v>
      </c>
      <c r="C51" s="241" t="s">
        <v>17</v>
      </c>
      <c r="D51" s="295">
        <v>1.61</v>
      </c>
      <c r="E51" s="241" t="s">
        <v>376</v>
      </c>
      <c r="F51" s="245" t="s">
        <v>473</v>
      </c>
    </row>
    <row r="52" spans="2:6">
      <c r="B52" s="245" t="s">
        <v>118</v>
      </c>
      <c r="C52" s="241" t="s">
        <v>24</v>
      </c>
      <c r="D52" s="295">
        <v>0.12</v>
      </c>
      <c r="E52" s="241" t="s">
        <v>376</v>
      </c>
      <c r="F52" s="245" t="s">
        <v>474</v>
      </c>
    </row>
    <row r="53" spans="2:6">
      <c r="B53" s="245" t="s">
        <v>116</v>
      </c>
      <c r="C53" s="241" t="s">
        <v>24</v>
      </c>
      <c r="D53" s="295">
        <v>0.22</v>
      </c>
      <c r="E53" s="241" t="s">
        <v>376</v>
      </c>
      <c r="F53" s="245" t="s">
        <v>474</v>
      </c>
    </row>
    <row r="54" spans="2:6">
      <c r="B54" s="245" t="s">
        <v>6</v>
      </c>
      <c r="C54" s="241" t="s">
        <v>24</v>
      </c>
      <c r="D54" s="295">
        <v>0.4</v>
      </c>
      <c r="E54" s="241" t="s">
        <v>376</v>
      </c>
      <c r="F54" s="245" t="s">
        <v>474</v>
      </c>
    </row>
    <row r="55" spans="2:6">
      <c r="B55" s="245" t="s">
        <v>379</v>
      </c>
      <c r="C55" s="241" t="s">
        <v>24</v>
      </c>
      <c r="D55" s="295">
        <v>2</v>
      </c>
      <c r="E55" s="241" t="s">
        <v>376</v>
      </c>
      <c r="F55" s="245" t="s">
        <v>474</v>
      </c>
    </row>
    <row r="56" spans="2:6">
      <c r="B56" s="245" t="s">
        <v>111</v>
      </c>
      <c r="C56" s="241" t="s">
        <v>24</v>
      </c>
      <c r="D56" s="295">
        <v>1</v>
      </c>
      <c r="E56" s="241" t="s">
        <v>376</v>
      </c>
      <c r="F56" s="245" t="s">
        <v>474</v>
      </c>
    </row>
    <row r="57" spans="2:6">
      <c r="B57" s="245" t="s">
        <v>112</v>
      </c>
      <c r="C57" s="241" t="s">
        <v>24</v>
      </c>
      <c r="D57" s="295">
        <v>0.5</v>
      </c>
      <c r="E57" s="241" t="s">
        <v>376</v>
      </c>
      <c r="F57" s="245" t="s">
        <v>474</v>
      </c>
    </row>
    <row r="58" spans="2:6">
      <c r="B58" s="245" t="s">
        <v>114</v>
      </c>
      <c r="C58" s="241" t="s">
        <v>24</v>
      </c>
      <c r="D58" s="295">
        <v>1</v>
      </c>
      <c r="E58" s="241" t="s">
        <v>376</v>
      </c>
      <c r="F58" s="245" t="s">
        <v>474</v>
      </c>
    </row>
    <row r="59" spans="2:6">
      <c r="B59" s="245" t="s">
        <v>113</v>
      </c>
      <c r="C59" s="241" t="s">
        <v>24</v>
      </c>
      <c r="D59" s="295">
        <v>0.8</v>
      </c>
      <c r="E59" s="241" t="s">
        <v>376</v>
      </c>
      <c r="F59" s="245" t="s">
        <v>474</v>
      </c>
    </row>
    <row r="60" spans="2:6">
      <c r="B60" s="245" t="s">
        <v>115</v>
      </c>
      <c r="C60" s="241" t="s">
        <v>24</v>
      </c>
      <c r="D60" s="295">
        <v>0.28000000000000003</v>
      </c>
      <c r="E60" s="241" t="s">
        <v>376</v>
      </c>
      <c r="F60" s="245" t="s">
        <v>474</v>
      </c>
    </row>
    <row r="61" spans="2:6">
      <c r="B61" s="245" t="s">
        <v>127</v>
      </c>
      <c r="C61" s="241" t="s">
        <v>54</v>
      </c>
      <c r="D61" s="295">
        <v>1.7</v>
      </c>
      <c r="E61" s="241" t="s">
        <v>376</v>
      </c>
      <c r="F61" s="245" t="s">
        <v>475</v>
      </c>
    </row>
    <row r="62" spans="2:6">
      <c r="B62" s="245" t="s">
        <v>6</v>
      </c>
      <c r="C62" s="241" t="s">
        <v>54</v>
      </c>
      <c r="D62" s="296">
        <v>0.9</v>
      </c>
      <c r="E62" s="241" t="s">
        <v>376</v>
      </c>
      <c r="F62" s="245" t="s">
        <v>475</v>
      </c>
    </row>
    <row r="63" spans="2:6">
      <c r="B63" s="245" t="s">
        <v>129</v>
      </c>
      <c r="C63" s="241" t="s">
        <v>54</v>
      </c>
      <c r="D63" s="295">
        <v>0.77</v>
      </c>
      <c r="E63" s="241" t="s">
        <v>376</v>
      </c>
      <c r="F63" s="245" t="s">
        <v>475</v>
      </c>
    </row>
    <row r="64" spans="2:6">
      <c r="B64" s="245" t="s">
        <v>124</v>
      </c>
      <c r="C64" s="241" t="s">
        <v>54</v>
      </c>
      <c r="D64" s="295">
        <v>0.6</v>
      </c>
      <c r="E64" s="241" t="s">
        <v>376</v>
      </c>
      <c r="F64" s="245" t="s">
        <v>475</v>
      </c>
    </row>
    <row r="65" spans="2:6">
      <c r="B65" s="245" t="s">
        <v>125</v>
      </c>
      <c r="C65" s="241" t="s">
        <v>54</v>
      </c>
      <c r="D65" s="295">
        <v>1.6</v>
      </c>
      <c r="E65" s="241" t="s">
        <v>376</v>
      </c>
      <c r="F65" s="245" t="s">
        <v>475</v>
      </c>
    </row>
    <row r="66" spans="2:6">
      <c r="B66" s="245" t="s">
        <v>112</v>
      </c>
      <c r="C66" s="241" t="s">
        <v>54</v>
      </c>
      <c r="D66" s="295">
        <v>1</v>
      </c>
      <c r="E66" s="241" t="s">
        <v>376</v>
      </c>
      <c r="F66" s="245" t="s">
        <v>475</v>
      </c>
    </row>
    <row r="67" spans="2:6">
      <c r="B67" s="245" t="s">
        <v>130</v>
      </c>
      <c r="C67" s="241" t="s">
        <v>54</v>
      </c>
      <c r="D67" s="295">
        <v>0.6</v>
      </c>
      <c r="E67" s="241" t="s">
        <v>376</v>
      </c>
      <c r="F67" s="245" t="s">
        <v>475</v>
      </c>
    </row>
    <row r="68" spans="2:6">
      <c r="B68" s="245" t="s">
        <v>128</v>
      </c>
      <c r="C68" s="241" t="s">
        <v>54</v>
      </c>
      <c r="D68" s="295">
        <v>1.8</v>
      </c>
      <c r="E68" s="241" t="s">
        <v>376</v>
      </c>
      <c r="F68" s="245" t="s">
        <v>475</v>
      </c>
    </row>
    <row r="69" spans="2:6">
      <c r="B69" s="245" t="s">
        <v>126</v>
      </c>
      <c r="C69" s="241" t="s">
        <v>54</v>
      </c>
      <c r="D69" s="295">
        <v>1.2</v>
      </c>
      <c r="E69" s="241" t="s">
        <v>376</v>
      </c>
      <c r="F69" s="245" t="s">
        <v>475</v>
      </c>
    </row>
    <row r="70" spans="2:6">
      <c r="B70" s="245" t="s">
        <v>118</v>
      </c>
      <c r="C70" s="241" t="s">
        <v>16</v>
      </c>
      <c r="D70" s="295">
        <v>1.5</v>
      </c>
      <c r="E70" s="241" t="s">
        <v>376</v>
      </c>
      <c r="F70" s="245" t="s">
        <v>476</v>
      </c>
    </row>
    <row r="71" spans="2:6">
      <c r="B71" s="245" t="s">
        <v>98</v>
      </c>
      <c r="C71" s="241" t="s">
        <v>16</v>
      </c>
      <c r="D71" s="295">
        <v>2</v>
      </c>
      <c r="E71" s="241" t="s">
        <v>376</v>
      </c>
      <c r="F71" s="245" t="s">
        <v>476</v>
      </c>
    </row>
    <row r="72" spans="2:6">
      <c r="B72" s="245" t="s">
        <v>96</v>
      </c>
      <c r="C72" s="241" t="s">
        <v>16</v>
      </c>
      <c r="D72" s="295">
        <v>2</v>
      </c>
      <c r="E72" s="241" t="s">
        <v>376</v>
      </c>
      <c r="F72" s="245" t="s">
        <v>476</v>
      </c>
    </row>
    <row r="73" spans="2:6">
      <c r="B73" s="245" t="s">
        <v>127</v>
      </c>
      <c r="C73" s="241" t="s">
        <v>16</v>
      </c>
      <c r="D73" s="295">
        <v>4</v>
      </c>
      <c r="E73" s="241" t="s">
        <v>376</v>
      </c>
      <c r="F73" s="245" t="s">
        <v>476</v>
      </c>
    </row>
    <row r="74" spans="2:6">
      <c r="B74" s="245" t="s">
        <v>6</v>
      </c>
      <c r="C74" s="241" t="s">
        <v>16</v>
      </c>
      <c r="D74" s="295">
        <v>2</v>
      </c>
      <c r="E74" s="241" t="s">
        <v>376</v>
      </c>
      <c r="F74" s="245" t="s">
        <v>476</v>
      </c>
    </row>
    <row r="75" spans="2:6">
      <c r="B75" s="245" t="s">
        <v>112</v>
      </c>
      <c r="C75" s="241" t="s">
        <v>16</v>
      </c>
      <c r="D75" s="295">
        <v>4</v>
      </c>
      <c r="E75" s="241" t="s">
        <v>376</v>
      </c>
      <c r="F75" s="245" t="s">
        <v>476</v>
      </c>
    </row>
    <row r="76" spans="2:6">
      <c r="B76" s="245" t="s">
        <v>114</v>
      </c>
      <c r="C76" s="241" t="s">
        <v>16</v>
      </c>
      <c r="D76" s="295">
        <v>2</v>
      </c>
      <c r="E76" s="241" t="s">
        <v>376</v>
      </c>
      <c r="F76" s="245" t="s">
        <v>476</v>
      </c>
    </row>
    <row r="77" spans="2:6">
      <c r="B77" s="245" t="s">
        <v>120</v>
      </c>
      <c r="C77" s="241" t="s">
        <v>16</v>
      </c>
      <c r="D77" s="295">
        <v>1</v>
      </c>
      <c r="E77" s="241" t="s">
        <v>376</v>
      </c>
      <c r="F77" s="245" t="s">
        <v>476</v>
      </c>
    </row>
    <row r="78" spans="2:6">
      <c r="B78" s="245" t="s">
        <v>117</v>
      </c>
      <c r="C78" s="241" t="s">
        <v>16</v>
      </c>
      <c r="D78" s="295">
        <v>1</v>
      </c>
      <c r="E78" s="241" t="s">
        <v>376</v>
      </c>
      <c r="F78" s="245" t="s">
        <v>476</v>
      </c>
    </row>
    <row r="79" spans="2:6">
      <c r="B79" s="245" t="s">
        <v>119</v>
      </c>
      <c r="C79" s="245" t="s">
        <v>16</v>
      </c>
      <c r="D79" s="295">
        <v>5</v>
      </c>
      <c r="E79" s="245" t="s">
        <v>376</v>
      </c>
      <c r="F79" s="245" t="s">
        <v>476</v>
      </c>
    </row>
    <row r="80" spans="2:6">
      <c r="B80" s="245" t="s">
        <v>118</v>
      </c>
      <c r="C80" s="241" t="s">
        <v>56</v>
      </c>
      <c r="D80" s="295">
        <v>0.6</v>
      </c>
      <c r="E80" s="241" t="s">
        <v>376</v>
      </c>
      <c r="F80" s="245" t="s">
        <v>477</v>
      </c>
    </row>
    <row r="81" spans="2:6">
      <c r="B81" s="245" t="s">
        <v>122</v>
      </c>
      <c r="C81" s="241" t="s">
        <v>56</v>
      </c>
      <c r="D81" s="295">
        <v>0.3</v>
      </c>
      <c r="E81" s="241" t="s">
        <v>376</v>
      </c>
      <c r="F81" s="245" t="s">
        <v>477</v>
      </c>
    </row>
    <row r="82" spans="2:6">
      <c r="B82" s="245" t="s">
        <v>121</v>
      </c>
      <c r="C82" s="241" t="s">
        <v>56</v>
      </c>
      <c r="D82" s="295">
        <v>0.6</v>
      </c>
      <c r="E82" s="241" t="s">
        <v>376</v>
      </c>
      <c r="F82" s="245" t="s">
        <v>477</v>
      </c>
    </row>
    <row r="83" spans="2:6">
      <c r="B83" s="245" t="s">
        <v>6</v>
      </c>
      <c r="C83" s="241" t="s">
        <v>56</v>
      </c>
      <c r="D83" s="295">
        <v>0.125</v>
      </c>
      <c r="E83" s="241" t="s">
        <v>376</v>
      </c>
      <c r="F83" s="245" t="s">
        <v>477</v>
      </c>
    </row>
    <row r="84" spans="2:6">
      <c r="B84" s="245" t="s">
        <v>379</v>
      </c>
      <c r="C84" s="241" t="s">
        <v>56</v>
      </c>
      <c r="D84" s="295">
        <v>0.85</v>
      </c>
      <c r="E84" s="241" t="s">
        <v>376</v>
      </c>
      <c r="F84" s="245" t="s">
        <v>477</v>
      </c>
    </row>
    <row r="85" spans="2:6">
      <c r="B85" s="245" t="s">
        <v>111</v>
      </c>
      <c r="C85" s="241" t="s">
        <v>56</v>
      </c>
      <c r="D85" s="295">
        <v>1.6</v>
      </c>
      <c r="E85" s="241" t="s">
        <v>376</v>
      </c>
      <c r="F85" s="245" t="s">
        <v>477</v>
      </c>
    </row>
    <row r="86" spans="2:6">
      <c r="B86" s="245" t="s">
        <v>112</v>
      </c>
      <c r="C86" s="241" t="s">
        <v>56</v>
      </c>
      <c r="D86" s="295">
        <v>0.4</v>
      </c>
      <c r="E86" s="241" t="s">
        <v>376</v>
      </c>
      <c r="F86" s="245" t="s">
        <v>477</v>
      </c>
    </row>
    <row r="87" spans="2:6">
      <c r="B87" s="245" t="s">
        <v>131</v>
      </c>
      <c r="C87" s="241" t="s">
        <v>56</v>
      </c>
      <c r="D87" s="295">
        <v>0.8</v>
      </c>
      <c r="E87" s="241" t="s">
        <v>376</v>
      </c>
      <c r="F87" s="245" t="s">
        <v>477</v>
      </c>
    </row>
    <row r="88" spans="2:6">
      <c r="B88" s="245" t="s">
        <v>381</v>
      </c>
      <c r="C88" s="241" t="s">
        <v>56</v>
      </c>
      <c r="D88" s="295">
        <v>0.3</v>
      </c>
      <c r="E88" s="241" t="s">
        <v>376</v>
      </c>
      <c r="F88" s="245" t="s">
        <v>477</v>
      </c>
    </row>
    <row r="89" spans="2:6">
      <c r="B89" s="245" t="s">
        <v>380</v>
      </c>
      <c r="C89" s="241" t="s">
        <v>56</v>
      </c>
      <c r="D89" s="296">
        <v>0.3</v>
      </c>
      <c r="E89" s="241" t="s">
        <v>376</v>
      </c>
      <c r="F89" s="245" t="s">
        <v>477</v>
      </c>
    </row>
    <row r="90" spans="2:6">
      <c r="B90" s="245" t="s">
        <v>118</v>
      </c>
      <c r="C90" s="245" t="s">
        <v>23</v>
      </c>
      <c r="D90" s="296">
        <v>0.5</v>
      </c>
      <c r="E90" s="245" t="s">
        <v>376</v>
      </c>
      <c r="F90" s="245" t="s">
        <v>478</v>
      </c>
    </row>
    <row r="91" spans="2:6">
      <c r="B91" s="245" t="s">
        <v>6</v>
      </c>
      <c r="C91" s="241" t="s">
        <v>23</v>
      </c>
      <c r="D91" s="296">
        <v>0.5</v>
      </c>
      <c r="E91" s="241" t="s">
        <v>376</v>
      </c>
      <c r="F91" s="245" t="s">
        <v>478</v>
      </c>
    </row>
    <row r="92" spans="2:6">
      <c r="B92" s="245" t="s">
        <v>98</v>
      </c>
      <c r="C92" s="241" t="s">
        <v>14</v>
      </c>
      <c r="D92" s="295">
        <v>0.56000000000000005</v>
      </c>
      <c r="E92" s="241" t="s">
        <v>376</v>
      </c>
      <c r="F92" s="245" t="s">
        <v>479</v>
      </c>
    </row>
    <row r="93" spans="2:6">
      <c r="B93" s="245" t="s">
        <v>96</v>
      </c>
      <c r="C93" s="241" t="s">
        <v>14</v>
      </c>
      <c r="D93" s="295">
        <v>0.56000000000000005</v>
      </c>
      <c r="E93" s="241" t="s">
        <v>376</v>
      </c>
      <c r="F93" s="245" t="s">
        <v>479</v>
      </c>
    </row>
    <row r="94" spans="2:6">
      <c r="B94" s="245" t="s">
        <v>97</v>
      </c>
      <c r="C94" s="241" t="s">
        <v>14</v>
      </c>
      <c r="D94" s="295">
        <v>0.84</v>
      </c>
      <c r="E94" s="241" t="s">
        <v>376</v>
      </c>
      <c r="F94" s="245" t="s">
        <v>479</v>
      </c>
    </row>
    <row r="95" spans="2:6">
      <c r="B95" s="245" t="s">
        <v>6</v>
      </c>
      <c r="C95" s="241" t="s">
        <v>14</v>
      </c>
      <c r="D95" s="295">
        <v>0.18</v>
      </c>
      <c r="E95" s="241" t="s">
        <v>376</v>
      </c>
      <c r="F95" s="245" t="s">
        <v>479</v>
      </c>
    </row>
    <row r="96" spans="2:6">
      <c r="B96" s="245" t="s">
        <v>95</v>
      </c>
      <c r="C96" s="241" t="s">
        <v>14</v>
      </c>
      <c r="D96" s="295">
        <v>0.28000000000000003</v>
      </c>
      <c r="E96" s="241" t="s">
        <v>376</v>
      </c>
      <c r="F96" s="245" t="s">
        <v>479</v>
      </c>
    </row>
    <row r="97" spans="2:6">
      <c r="B97" s="245" t="s">
        <v>378</v>
      </c>
      <c r="C97" s="241" t="s">
        <v>14</v>
      </c>
      <c r="D97" s="295">
        <v>0.9</v>
      </c>
      <c r="E97" s="241" t="s">
        <v>376</v>
      </c>
      <c r="F97" s="245" t="s">
        <v>479</v>
      </c>
    </row>
    <row r="98" spans="2:6">
      <c r="B98" s="245" t="s">
        <v>131</v>
      </c>
      <c r="C98" s="241" t="s">
        <v>14</v>
      </c>
      <c r="D98" s="295">
        <v>0.36</v>
      </c>
      <c r="E98" s="241" t="s">
        <v>376</v>
      </c>
      <c r="F98" s="245" t="s">
        <v>479</v>
      </c>
    </row>
    <row r="99" spans="2:6">
      <c r="B99" s="245" t="s">
        <v>123</v>
      </c>
      <c r="C99" s="241" t="s">
        <v>15</v>
      </c>
      <c r="D99" s="295">
        <v>0.15</v>
      </c>
      <c r="E99" s="241" t="s">
        <v>376</v>
      </c>
      <c r="F99" s="245" t="s">
        <v>480</v>
      </c>
    </row>
    <row r="100" spans="2:6">
      <c r="B100" s="245" t="s">
        <v>122</v>
      </c>
      <c r="C100" s="241" t="s">
        <v>15</v>
      </c>
      <c r="D100" s="295">
        <v>0.15</v>
      </c>
      <c r="E100" s="241" t="s">
        <v>376</v>
      </c>
      <c r="F100" s="245" t="s">
        <v>480</v>
      </c>
    </row>
    <row r="101" spans="2:6">
      <c r="B101" s="245" t="s">
        <v>121</v>
      </c>
      <c r="C101" s="241" t="s">
        <v>15</v>
      </c>
      <c r="D101" s="295">
        <v>0.3</v>
      </c>
      <c r="E101" s="241" t="s">
        <v>376</v>
      </c>
      <c r="F101" s="245" t="s">
        <v>480</v>
      </c>
    </row>
    <row r="102" spans="2:6">
      <c r="B102" s="245" t="s">
        <v>379</v>
      </c>
      <c r="C102" s="245" t="s">
        <v>15</v>
      </c>
      <c r="D102" s="295">
        <v>0.8</v>
      </c>
      <c r="E102" s="245" t="s">
        <v>376</v>
      </c>
      <c r="F102" s="245" t="s">
        <v>480</v>
      </c>
    </row>
    <row r="103" spans="2:6">
      <c r="B103" s="245" t="s">
        <v>114</v>
      </c>
      <c r="C103" s="245" t="s">
        <v>15</v>
      </c>
      <c r="D103" s="295">
        <v>0.7</v>
      </c>
      <c r="E103" s="245" t="s">
        <v>376</v>
      </c>
      <c r="F103" s="245" t="s">
        <v>480</v>
      </c>
    </row>
  </sheetData>
  <mergeCells count="6">
    <mergeCell ref="B44:F44"/>
    <mergeCell ref="B16:D16"/>
    <mergeCell ref="B22:E22"/>
    <mergeCell ref="B27:E27"/>
    <mergeCell ref="B14:F14"/>
    <mergeCell ref="B35:F35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RelInventario"/>
  <dimension ref="A4:K58"/>
  <sheetViews>
    <sheetView showGridLines="0" showRowColHeaders="0" view="pageLayout" topLeftCell="A10" zoomScaleNormal="100" workbookViewId="0">
      <selection activeCell="F19" sqref="F19"/>
    </sheetView>
  </sheetViews>
  <sheetFormatPr defaultColWidth="9.140625" defaultRowHeight="12.75"/>
  <cols>
    <col min="1" max="8" width="12.140625" style="5" customWidth="1"/>
    <col min="9" max="16384" width="9.140625" style="5"/>
  </cols>
  <sheetData>
    <row r="4" spans="1:10">
      <c r="A4" s="356" t="s">
        <v>485</v>
      </c>
      <c r="B4" s="356"/>
      <c r="C4" s="356"/>
      <c r="D4" s="356"/>
      <c r="E4" s="356"/>
      <c r="F4" s="356"/>
      <c r="G4" s="356"/>
      <c r="H4" s="356"/>
    </row>
    <row r="5" spans="1:10" ht="13.5" thickBot="1"/>
    <row r="6" spans="1:10" ht="15.75">
      <c r="A6" s="34"/>
      <c r="B6" s="440" t="s">
        <v>439</v>
      </c>
      <c r="C6" s="441"/>
      <c r="D6" s="442"/>
      <c r="E6" s="440" t="s">
        <v>317</v>
      </c>
      <c r="F6" s="441"/>
      <c r="G6" s="441"/>
      <c r="H6" s="442"/>
    </row>
    <row r="7" spans="1:10" ht="15.75">
      <c r="A7" s="29" t="s">
        <v>167</v>
      </c>
      <c r="B7" s="30" t="s">
        <v>215</v>
      </c>
      <c r="C7" s="31" t="s">
        <v>217</v>
      </c>
      <c r="D7" s="49" t="s">
        <v>216</v>
      </c>
      <c r="E7" s="30" t="s">
        <v>215</v>
      </c>
      <c r="F7" s="31" t="s">
        <v>217</v>
      </c>
      <c r="G7" s="31" t="s">
        <v>216</v>
      </c>
      <c r="H7" s="48" t="s">
        <v>52</v>
      </c>
      <c r="J7" s="2"/>
    </row>
    <row r="8" spans="1:10">
      <c r="A8" s="45" t="s">
        <v>105</v>
      </c>
      <c r="B8" s="61">
        <f>'Síntese das emissões'!C20</f>
        <v>0</v>
      </c>
      <c r="C8" s="62">
        <f>'Síntese das emissões'!D20</f>
        <v>0</v>
      </c>
      <c r="D8" s="63">
        <f>'Síntese das emissões'!E20</f>
        <v>0</v>
      </c>
      <c r="E8" s="61">
        <f>'Síntese das emissões'!F20</f>
        <v>0</v>
      </c>
      <c r="F8" s="62">
        <f>'Síntese das emissões'!G20</f>
        <v>0</v>
      </c>
      <c r="G8" s="62">
        <f>'Síntese das emissões'!H20</f>
        <v>0</v>
      </c>
      <c r="H8" s="64">
        <f>IF(ISERROR(SUM(E8:G8)),"-",SUM(E8:G8))</f>
        <v>0</v>
      </c>
      <c r="J8" s="2"/>
    </row>
    <row r="9" spans="1:10">
      <c r="A9" s="32" t="s">
        <v>150</v>
      </c>
      <c r="B9" s="61">
        <f>'Síntese das emissões'!C21</f>
        <v>0</v>
      </c>
      <c r="C9" s="65"/>
      <c r="D9" s="66"/>
      <c r="E9" s="61">
        <f>'Síntese das emissões'!F21</f>
        <v>0</v>
      </c>
      <c r="F9" s="65"/>
      <c r="G9" s="65"/>
      <c r="H9" s="64">
        <f>IF(ISERROR(SUM(E9:G9)),"-",SUM(E9:G9))</f>
        <v>0</v>
      </c>
      <c r="J9" s="2"/>
    </row>
    <row r="10" spans="1:10">
      <c r="A10" s="33" t="s">
        <v>151</v>
      </c>
      <c r="B10" s="61">
        <f>'Síntese das emissões'!C22</f>
        <v>0</v>
      </c>
      <c r="C10" s="65"/>
      <c r="D10" s="66"/>
      <c r="E10" s="61">
        <f>'Síntese das emissões'!F22</f>
        <v>0</v>
      </c>
      <c r="F10" s="65"/>
      <c r="G10" s="65"/>
      <c r="H10" s="64">
        <f>IF(ISERROR(SUM(E10:G10)),"-",SUM(E10:G10))</f>
        <v>0</v>
      </c>
    </row>
    <row r="11" spans="1:10" ht="13.5" thickBot="1">
      <c r="A11" s="47" t="s">
        <v>52</v>
      </c>
      <c r="B11" s="67">
        <f>IF(ISERROR(SUM(B8:B10)),"-",SUM(B8:B10))</f>
        <v>0</v>
      </c>
      <c r="C11" s="68">
        <f t="shared" ref="C11:G11" si="0">IF(ISERROR(SUM(C8:C10)),"-",SUM(C8:C10))</f>
        <v>0</v>
      </c>
      <c r="D11" s="69">
        <f t="shared" si="0"/>
        <v>0</v>
      </c>
      <c r="E11" s="67">
        <f t="shared" si="0"/>
        <v>0</v>
      </c>
      <c r="F11" s="68">
        <f>IF(ISERROR(SUM(F8:F10)),"-",SUM(F8:F10))</f>
        <v>0</v>
      </c>
      <c r="G11" s="68">
        <f t="shared" si="0"/>
        <v>0</v>
      </c>
      <c r="H11" s="69">
        <f>IF(ISERROR(SUM(E11:G11)),"-",SUM(E11:G11))</f>
        <v>0</v>
      </c>
    </row>
    <row r="13" spans="1:10" ht="14.25">
      <c r="A13" s="437" t="s">
        <v>383</v>
      </c>
      <c r="B13" s="437"/>
      <c r="C13" s="437"/>
      <c r="D13" s="437"/>
      <c r="E13" s="437"/>
      <c r="F13" s="437"/>
      <c r="G13" s="437"/>
      <c r="H13" s="437"/>
    </row>
    <row r="14" spans="1:10">
      <c r="A14" s="1"/>
      <c r="B14" s="1"/>
      <c r="C14" s="1"/>
      <c r="D14" s="1"/>
      <c r="E14" s="1"/>
      <c r="F14" s="1"/>
      <c r="G14" s="1"/>
      <c r="H14" s="1"/>
    </row>
    <row r="15" spans="1:10">
      <c r="A15" s="438" t="s">
        <v>170</v>
      </c>
      <c r="B15" s="439"/>
      <c r="C15" s="439"/>
      <c r="D15" s="439"/>
      <c r="E15" s="335">
        <f>'Síntese das emissões'!D27</f>
        <v>0</v>
      </c>
      <c r="F15" s="328"/>
      <c r="G15" s="328"/>
      <c r="H15" s="328"/>
    </row>
    <row r="16" spans="1:10">
      <c r="A16" s="330"/>
      <c r="B16" s="326"/>
      <c r="C16" s="326"/>
      <c r="D16" s="336"/>
      <c r="E16" s="328"/>
      <c r="F16" s="328"/>
      <c r="G16" s="328"/>
      <c r="H16" s="328"/>
    </row>
    <row r="17" spans="1:11">
      <c r="A17" s="438" t="s">
        <v>172</v>
      </c>
      <c r="B17" s="439"/>
      <c r="C17" s="439"/>
      <c r="D17" s="439"/>
      <c r="E17" s="335">
        <f>'Síntese das emissões'!D29</f>
        <v>0</v>
      </c>
      <c r="F17" s="328"/>
      <c r="G17" s="328"/>
      <c r="H17" s="328"/>
    </row>
    <row r="18" spans="1:11">
      <c r="A18" s="327"/>
      <c r="B18" s="327"/>
      <c r="C18" s="327"/>
      <c r="D18" s="336"/>
      <c r="E18" s="328"/>
      <c r="F18" s="328"/>
      <c r="G18" s="328"/>
      <c r="H18" s="328"/>
    </row>
    <row r="19" spans="1:11">
      <c r="A19" s="438" t="s">
        <v>171</v>
      </c>
      <c r="B19" s="439"/>
      <c r="C19" s="439"/>
      <c r="D19" s="439"/>
      <c r="E19" s="335">
        <f>'Síntese das emissões'!D31</f>
        <v>0</v>
      </c>
      <c r="F19" s="328"/>
      <c r="G19" s="328"/>
      <c r="H19" s="328"/>
    </row>
    <row r="20" spans="1:11">
      <c r="A20" s="329"/>
      <c r="B20" s="329"/>
      <c r="C20" s="329"/>
      <c r="D20" s="328"/>
      <c r="E20" s="329"/>
      <c r="F20" s="328"/>
      <c r="G20" s="328"/>
      <c r="H20" s="328"/>
    </row>
    <row r="21" spans="1:11" ht="14.25">
      <c r="A21" s="357" t="s">
        <v>527</v>
      </c>
      <c r="B21" s="357"/>
      <c r="C21" s="357"/>
      <c r="D21" s="357"/>
      <c r="E21" s="357"/>
      <c r="F21" s="357"/>
      <c r="G21" s="357"/>
      <c r="H21" s="357"/>
    </row>
    <row r="22" spans="1:11">
      <c r="A22" s="329"/>
      <c r="B22" s="329"/>
      <c r="C22" s="329"/>
      <c r="D22" s="329"/>
      <c r="E22" s="329"/>
      <c r="F22" s="329"/>
      <c r="G22" s="329"/>
      <c r="H22" s="329"/>
    </row>
    <row r="23" spans="1:11">
      <c r="A23" s="443" t="s">
        <v>169</v>
      </c>
      <c r="B23" s="444"/>
      <c r="C23" s="444"/>
      <c r="D23" s="444"/>
      <c r="E23" s="337">
        <f>'Síntese das emissões'!D35</f>
        <v>0</v>
      </c>
      <c r="F23" s="329"/>
      <c r="G23" s="329"/>
      <c r="H23" s="329"/>
    </row>
    <row r="24" spans="1:11">
      <c r="A24" s="336"/>
      <c r="B24" s="336"/>
      <c r="C24" s="336"/>
      <c r="D24" s="336"/>
      <c r="E24" s="336"/>
      <c r="F24" s="336"/>
      <c r="G24" s="336"/>
      <c r="H24" s="336"/>
    </row>
    <row r="25" spans="1:11" ht="12.75" customHeight="1">
      <c r="A25" s="357" t="s">
        <v>528</v>
      </c>
      <c r="B25" s="357"/>
      <c r="C25" s="357"/>
      <c r="D25" s="357"/>
      <c r="E25" s="357"/>
      <c r="F25" s="357"/>
      <c r="G25" s="357"/>
      <c r="H25" s="357"/>
    </row>
    <row r="26" spans="1:11">
      <c r="A26" s="329"/>
      <c r="B26" s="329"/>
      <c r="C26" s="329"/>
      <c r="D26" s="329"/>
      <c r="E26" s="329"/>
      <c r="F26" s="329"/>
      <c r="G26" s="329"/>
      <c r="H26" s="329"/>
    </row>
    <row r="27" spans="1:11">
      <c r="A27" s="427" t="s">
        <v>109</v>
      </c>
      <c r="B27" s="428"/>
      <c r="C27" s="428"/>
      <c r="D27" s="428"/>
      <c r="E27" s="338">
        <f>'Síntese das emissões'!D39</f>
        <v>0</v>
      </c>
      <c r="F27" s="329"/>
      <c r="G27" s="328"/>
      <c r="H27" s="329"/>
    </row>
    <row r="28" spans="1:11">
      <c r="A28" s="333"/>
      <c r="B28" s="334"/>
      <c r="C28" s="334"/>
      <c r="D28" s="334"/>
      <c r="E28" s="328"/>
      <c r="F28" s="328"/>
      <c r="G28" s="334"/>
      <c r="H28" s="329"/>
    </row>
    <row r="29" spans="1:11" ht="12.75" customHeight="1">
      <c r="A29" s="429" t="s">
        <v>253</v>
      </c>
      <c r="B29" s="430"/>
      <c r="C29" s="430"/>
      <c r="D29" s="430"/>
      <c r="E29" s="338">
        <f>'Síntese das emissões'!D41</f>
        <v>0</v>
      </c>
      <c r="F29" s="329"/>
      <c r="G29" s="328"/>
      <c r="H29" s="329"/>
      <c r="I29" s="1"/>
      <c r="J29" s="1"/>
      <c r="K29" s="1"/>
    </row>
    <row r="30" spans="1:11">
      <c r="G30" s="1"/>
      <c r="H30" s="1"/>
      <c r="I30" s="1"/>
      <c r="J30" s="1"/>
    </row>
    <row r="31" spans="1:11">
      <c r="I31" s="1"/>
      <c r="J31" s="1"/>
      <c r="K31" s="1"/>
    </row>
    <row r="32" spans="1:11">
      <c r="I32" s="1"/>
      <c r="J32" s="1"/>
      <c r="K32" s="1"/>
    </row>
    <row r="33" spans="7:11">
      <c r="I33" s="1"/>
      <c r="J33" s="1"/>
      <c r="K33" s="1"/>
    </row>
    <row r="34" spans="7:11">
      <c r="I34" s="1"/>
      <c r="J34" s="1"/>
      <c r="K34" s="1"/>
    </row>
    <row r="35" spans="7:11"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J38" s="1"/>
      <c r="K38" s="1"/>
    </row>
    <row r="39" spans="7:11">
      <c r="J39" s="1"/>
      <c r="K39" s="1"/>
    </row>
    <row r="55" spans="1:4">
      <c r="A55" s="435" t="s">
        <v>145</v>
      </c>
      <c r="B55" s="436"/>
      <c r="C55" s="431" t="str">
        <f>IF(cad_nomeorganizacao = "","-",cad_nomeorganizacao)</f>
        <v>-</v>
      </c>
      <c r="D55" s="432"/>
    </row>
    <row r="56" spans="1:4">
      <c r="A56" s="435" t="s">
        <v>146</v>
      </c>
      <c r="B56" s="436"/>
      <c r="C56" s="431" t="str">
        <f>IF(cad_nomeresponsavel = "","-",cad_nomeresponsavel)</f>
        <v>-</v>
      </c>
      <c r="D56" s="432"/>
    </row>
    <row r="57" spans="1:4">
      <c r="A57" s="435" t="s">
        <v>45</v>
      </c>
      <c r="B57" s="436"/>
      <c r="C57" s="431" t="str">
        <f>IF(cad_contatoresponsavel = "","-",cad_contatoresponsavel)</f>
        <v>-</v>
      </c>
      <c r="D57" s="432"/>
    </row>
    <row r="58" spans="1:4">
      <c r="A58" s="435" t="s">
        <v>482</v>
      </c>
      <c r="B58" s="436"/>
      <c r="C58" s="433" t="str">
        <f>IF(cad_anosafra="","-",cad_anosafra)</f>
        <v>-</v>
      </c>
      <c r="D58" s="434"/>
    </row>
  </sheetData>
  <mergeCells count="20">
    <mergeCell ref="A13:H13"/>
    <mergeCell ref="A4:H4"/>
    <mergeCell ref="A25:H25"/>
    <mergeCell ref="A21:H21"/>
    <mergeCell ref="A15:D15"/>
    <mergeCell ref="A17:D17"/>
    <mergeCell ref="A19:D19"/>
    <mergeCell ref="B6:D6"/>
    <mergeCell ref="E6:H6"/>
    <mergeCell ref="A23:D23"/>
    <mergeCell ref="A27:D27"/>
    <mergeCell ref="A29:D29"/>
    <mergeCell ref="C55:D55"/>
    <mergeCell ref="C58:D58"/>
    <mergeCell ref="A55:B55"/>
    <mergeCell ref="A56:B56"/>
    <mergeCell ref="A57:B57"/>
    <mergeCell ref="A58:B58"/>
    <mergeCell ref="C56:D56"/>
    <mergeCell ref="C57:D57"/>
  </mergeCells>
  <pageMargins left="0.25" right="0.25" top="0.75" bottom="0.75" header="0.3" footer="0.3"/>
  <pageSetup paperSize="9" orientation="portrait" r:id="rId1"/>
  <headerFooter>
    <oddHeader xml:space="preserve">&amp;L&amp;G&amp;R&amp;G
</oddHeader>
    <oddFooter>&amp;C
&amp;RData: &amp;D
Hora: &amp;T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Equipe">
    <tabColor theme="5"/>
  </sheetPr>
  <dimension ref="B11:E14"/>
  <sheetViews>
    <sheetView showGridLines="0" showRowColHeaders="0" zoomScaleNormal="100" workbookViewId="0"/>
  </sheetViews>
  <sheetFormatPr defaultRowHeight="12.75"/>
  <cols>
    <col min="1" max="1" width="3.7109375" style="5" customWidth="1"/>
    <col min="2" max="2" width="28.85546875" style="5" bestFit="1" customWidth="1"/>
    <col min="3" max="3" width="23.85546875" style="5" bestFit="1" customWidth="1"/>
    <col min="4" max="4" width="18.7109375" style="5" bestFit="1" customWidth="1"/>
    <col min="5" max="5" width="29.7109375" style="5" bestFit="1" customWidth="1"/>
    <col min="6" max="6" width="9.140625" style="5" customWidth="1"/>
    <col min="7" max="10" width="9.140625" style="5"/>
    <col min="11" max="12" width="12.5703125" style="5" customWidth="1"/>
    <col min="13" max="16384" width="9.140625" style="5"/>
  </cols>
  <sheetData>
    <row r="11" spans="2:5">
      <c r="B11" s="445" t="s">
        <v>483</v>
      </c>
      <c r="C11" s="445"/>
      <c r="D11" s="445"/>
      <c r="E11" s="445"/>
    </row>
    <row r="12" spans="2:5">
      <c r="B12" s="297" t="s">
        <v>132</v>
      </c>
      <c r="C12" s="297" t="s">
        <v>135</v>
      </c>
      <c r="D12" s="297" t="s">
        <v>497</v>
      </c>
      <c r="E12" s="297" t="s">
        <v>138</v>
      </c>
    </row>
    <row r="13" spans="2:5">
      <c r="B13" s="297" t="s">
        <v>134</v>
      </c>
      <c r="C13" s="297" t="s">
        <v>136</v>
      </c>
      <c r="D13" s="297" t="s">
        <v>139</v>
      </c>
      <c r="E13" s="297" t="s">
        <v>141</v>
      </c>
    </row>
    <row r="14" spans="2:5">
      <c r="B14" s="297" t="s">
        <v>133</v>
      </c>
      <c r="C14" s="297" t="s">
        <v>137</v>
      </c>
      <c r="D14" s="297" t="s">
        <v>140</v>
      </c>
      <c r="E14" s="297" t="s">
        <v>142</v>
      </c>
    </row>
  </sheetData>
  <sheetProtection sheet="1" objects="1" scenarios="1"/>
  <mergeCells count="1">
    <mergeCell ref="B11:E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Soja">
    <tabColor theme="3"/>
    <outlinePr summaryBelow="0"/>
  </sheetPr>
  <dimension ref="A14:R95"/>
  <sheetViews>
    <sheetView showGridLines="0" showRowColHeaders="0" zoomScaleNormal="100" workbookViewId="0"/>
  </sheetViews>
  <sheetFormatPr defaultColWidth="9.28515625" defaultRowHeight="12.75"/>
  <cols>
    <col min="1" max="1" width="3.7109375" style="20" customWidth="1"/>
    <col min="2" max="2" width="33.5703125" style="20" customWidth="1"/>
    <col min="3" max="3" width="26.42578125" style="20" bestFit="1" customWidth="1"/>
    <col min="4" max="4" width="18.85546875" style="20" bestFit="1" customWidth="1"/>
    <col min="5" max="5" width="30.7109375" style="20" bestFit="1" customWidth="1"/>
    <col min="6" max="6" width="19.42578125" style="20" bestFit="1" customWidth="1"/>
    <col min="7" max="11" width="9.140625" style="20" customWidth="1"/>
    <col min="12" max="16384" width="9.28515625" style="20"/>
  </cols>
  <sheetData>
    <row r="14" spans="1:5">
      <c r="A14" s="7"/>
      <c r="B14" s="452" t="s">
        <v>354</v>
      </c>
      <c r="C14" s="452"/>
      <c r="D14" s="452"/>
      <c r="E14" s="453"/>
    </row>
    <row r="15" spans="1:5">
      <c r="A15" s="44"/>
      <c r="B15" s="44"/>
      <c r="C15" s="44"/>
      <c r="D15" s="44"/>
      <c r="E15" s="44"/>
    </row>
    <row r="16" spans="1:5">
      <c r="A16" s="44"/>
      <c r="B16" s="451" t="s">
        <v>247</v>
      </c>
      <c r="C16" s="451"/>
      <c r="D16" s="451"/>
      <c r="E16" s="454"/>
    </row>
    <row r="17" spans="1:18" ht="13.5" thickBot="1">
      <c r="A17" s="44"/>
      <c r="B17" s="301"/>
      <c r="C17" s="302" t="s">
        <v>232</v>
      </c>
      <c r="D17" s="302" t="s">
        <v>222</v>
      </c>
      <c r="E17" s="303" t="s">
        <v>535</v>
      </c>
    </row>
    <row r="18" spans="1:18">
      <c r="A18" s="44"/>
      <c r="B18" s="304" t="s">
        <v>46</v>
      </c>
      <c r="C18" s="305" t="s">
        <v>225</v>
      </c>
      <c r="D18" s="306" t="s">
        <v>225</v>
      </c>
      <c r="E18" s="75"/>
    </row>
    <row r="19" spans="1:18">
      <c r="A19" s="44"/>
      <c r="B19" s="307" t="s">
        <v>230</v>
      </c>
      <c r="C19" s="308" t="s">
        <v>225</v>
      </c>
      <c r="D19" s="309" t="s">
        <v>223</v>
      </c>
      <c r="E19" s="197"/>
    </row>
    <row r="20" spans="1:18">
      <c r="A20" s="44"/>
      <c r="B20" s="307" t="s">
        <v>231</v>
      </c>
      <c r="C20" s="308" t="s">
        <v>225</v>
      </c>
      <c r="D20" s="309" t="s">
        <v>223</v>
      </c>
      <c r="E20" s="198"/>
    </row>
    <row r="21" spans="1:18">
      <c r="A21" s="44"/>
      <c r="B21" s="307" t="s">
        <v>8</v>
      </c>
      <c r="C21" s="308" t="s">
        <v>225</v>
      </c>
      <c r="D21" s="309" t="s">
        <v>225</v>
      </c>
      <c r="E21" s="37"/>
    </row>
    <row r="22" spans="1:18">
      <c r="A22" s="44"/>
      <c r="B22" s="44"/>
      <c r="C22" s="44"/>
      <c r="D22" s="44"/>
      <c r="E22" s="44"/>
    </row>
    <row r="23" spans="1:18">
      <c r="A23" s="44"/>
      <c r="B23" s="451" t="s">
        <v>361</v>
      </c>
      <c r="C23" s="451"/>
      <c r="D23" s="451"/>
      <c r="E23" s="451"/>
    </row>
    <row r="24" spans="1:18" ht="13.5" thickBot="1">
      <c r="A24" s="44"/>
      <c r="B24" s="301"/>
      <c r="C24" s="302" t="s">
        <v>232</v>
      </c>
      <c r="D24" s="302" t="s">
        <v>222</v>
      </c>
      <c r="E24" s="303" t="s">
        <v>535</v>
      </c>
      <c r="F24" s="44"/>
    </row>
    <row r="25" spans="1:18">
      <c r="A25" s="44"/>
      <c r="B25" s="304" t="s">
        <v>148</v>
      </c>
      <c r="C25" s="306" t="s">
        <v>225</v>
      </c>
      <c r="D25" s="306" t="s">
        <v>225</v>
      </c>
      <c r="E25" s="28"/>
      <c r="F25" s="44"/>
      <c r="H25" s="44"/>
      <c r="I25" s="44"/>
    </row>
    <row r="26" spans="1:18">
      <c r="A26" s="44"/>
      <c r="B26" s="307" t="s">
        <v>149</v>
      </c>
      <c r="C26" s="309" t="s">
        <v>225</v>
      </c>
      <c r="D26" s="309" t="s">
        <v>225</v>
      </c>
      <c r="E26" s="15"/>
      <c r="F26" s="44"/>
      <c r="H26" s="44"/>
      <c r="I26" s="44"/>
    </row>
    <row r="27" spans="1:18">
      <c r="A27" s="44"/>
      <c r="B27" s="307" t="s">
        <v>104</v>
      </c>
      <c r="C27" s="309" t="s">
        <v>225</v>
      </c>
      <c r="D27" s="309" t="s">
        <v>225</v>
      </c>
      <c r="E27" s="9"/>
      <c r="H27" s="44"/>
      <c r="I27" s="44"/>
    </row>
    <row r="28" spans="1:18">
      <c r="A28" s="44"/>
      <c r="B28" s="307" t="s">
        <v>9</v>
      </c>
      <c r="C28" s="309" t="s">
        <v>225</v>
      </c>
      <c r="D28" s="309" t="s">
        <v>225</v>
      </c>
      <c r="E28" s="9"/>
    </row>
    <row r="29" spans="1:18">
      <c r="A29" s="44"/>
      <c r="B29" s="307" t="s">
        <v>48</v>
      </c>
      <c r="C29" s="309" t="s">
        <v>225</v>
      </c>
      <c r="D29" s="309" t="s">
        <v>225</v>
      </c>
      <c r="E29" s="9"/>
      <c r="F29" s="44"/>
    </row>
    <row r="30" spans="1:18">
      <c r="A30" s="44"/>
      <c r="B30" s="307" t="s">
        <v>214</v>
      </c>
      <c r="C30" s="309" t="s">
        <v>225</v>
      </c>
      <c r="D30" s="309" t="s">
        <v>225</v>
      </c>
      <c r="E30" s="9"/>
      <c r="F30" s="44"/>
    </row>
    <row r="31" spans="1:18">
      <c r="A31" s="44"/>
      <c r="B31" s="307" t="s">
        <v>47</v>
      </c>
      <c r="C31" s="309" t="s">
        <v>225</v>
      </c>
      <c r="D31" s="309" t="s">
        <v>225</v>
      </c>
      <c r="E31" s="59"/>
      <c r="F31" s="44"/>
      <c r="G31" s="44"/>
      <c r="H31" s="44"/>
      <c r="I31" s="44"/>
    </row>
    <row r="32" spans="1:18">
      <c r="A32" s="44"/>
      <c r="B32" s="307" t="s">
        <v>242</v>
      </c>
      <c r="C32" s="309" t="s">
        <v>225</v>
      </c>
      <c r="D32" s="309" t="s">
        <v>226</v>
      </c>
      <c r="E32" s="16"/>
      <c r="O32" s="44"/>
      <c r="P32" s="44"/>
      <c r="Q32" s="44"/>
      <c r="R32" s="44"/>
    </row>
    <row r="33" spans="1:8">
      <c r="A33" s="44"/>
      <c r="B33" s="307" t="s">
        <v>360</v>
      </c>
      <c r="C33" s="309" t="s">
        <v>225</v>
      </c>
      <c r="D33" s="309" t="s">
        <v>226</v>
      </c>
      <c r="E33" s="16"/>
    </row>
    <row r="34" spans="1:8">
      <c r="A34" s="44"/>
      <c r="B34" s="307" t="s">
        <v>228</v>
      </c>
      <c r="C34" s="309" t="s">
        <v>225</v>
      </c>
      <c r="D34" s="309" t="s">
        <v>226</v>
      </c>
      <c r="E34" s="16"/>
    </row>
    <row r="35" spans="1:8">
      <c r="A35" s="44"/>
      <c r="B35" s="307" t="s">
        <v>229</v>
      </c>
      <c r="C35" s="309" t="s">
        <v>225</v>
      </c>
      <c r="D35" s="309" t="s">
        <v>227</v>
      </c>
      <c r="E35" s="16"/>
    </row>
    <row r="36" spans="1:8">
      <c r="A36" s="44"/>
    </row>
    <row r="37" spans="1:8">
      <c r="A37" s="44"/>
      <c r="B37" s="451" t="s">
        <v>458</v>
      </c>
      <c r="C37" s="451"/>
      <c r="D37" s="451"/>
      <c r="E37" s="451"/>
    </row>
    <row r="38" spans="1:8" ht="13.5" thickBot="1">
      <c r="A38" s="44"/>
      <c r="B38" s="310" t="s">
        <v>252</v>
      </c>
      <c r="C38" s="302" t="s">
        <v>232</v>
      </c>
      <c r="D38" s="302" t="s">
        <v>222</v>
      </c>
      <c r="E38" s="303" t="s">
        <v>535</v>
      </c>
    </row>
    <row r="39" spans="1:8">
      <c r="A39" s="44"/>
      <c r="B39" s="304" t="s">
        <v>234</v>
      </c>
      <c r="C39" s="306" t="s">
        <v>243</v>
      </c>
      <c r="D39" s="306" t="s">
        <v>233</v>
      </c>
      <c r="E39" s="76"/>
    </row>
    <row r="40" spans="1:8">
      <c r="A40" s="44"/>
      <c r="B40" s="307" t="s">
        <v>364</v>
      </c>
      <c r="C40" s="309" t="s">
        <v>225</v>
      </c>
      <c r="D40" s="309" t="s">
        <v>224</v>
      </c>
      <c r="E40" s="76"/>
    </row>
    <row r="41" spans="1:8">
      <c r="A41" s="10"/>
      <c r="B41" s="307" t="s">
        <v>221</v>
      </c>
      <c r="C41" s="309" t="s">
        <v>225</v>
      </c>
      <c r="D41" s="309" t="s">
        <v>233</v>
      </c>
      <c r="E41" s="76"/>
    </row>
    <row r="42" spans="1:8">
      <c r="A42" s="10"/>
      <c r="B42" s="307" t="s">
        <v>235</v>
      </c>
      <c r="C42" s="309" t="s">
        <v>225</v>
      </c>
      <c r="D42" s="309" t="s">
        <v>233</v>
      </c>
      <c r="E42" s="76"/>
    </row>
    <row r="43" spans="1:8">
      <c r="A43" s="44"/>
      <c r="B43" s="307" t="s">
        <v>236</v>
      </c>
      <c r="C43" s="309" t="s">
        <v>225</v>
      </c>
      <c r="D43" s="309" t="s">
        <v>233</v>
      </c>
      <c r="E43" s="76"/>
    </row>
    <row r="44" spans="1:8">
      <c r="A44" s="44"/>
      <c r="B44" s="448"/>
      <c r="C44" s="449"/>
      <c r="D44" s="449"/>
      <c r="E44" s="450"/>
    </row>
    <row r="45" spans="1:8" ht="13.5" thickBot="1">
      <c r="A45" s="10"/>
      <c r="B45" s="310" t="s">
        <v>50</v>
      </c>
      <c r="C45" s="302" t="s">
        <v>232</v>
      </c>
      <c r="D45" s="302" t="s">
        <v>222</v>
      </c>
      <c r="E45" s="303" t="s">
        <v>535</v>
      </c>
    </row>
    <row r="46" spans="1:8">
      <c r="A46" s="10"/>
      <c r="B46" s="304" t="s">
        <v>60</v>
      </c>
      <c r="C46" s="306" t="s">
        <v>225</v>
      </c>
      <c r="D46" s="306" t="s">
        <v>233</v>
      </c>
      <c r="E46" s="76"/>
      <c r="H46" s="50"/>
    </row>
    <row r="47" spans="1:8">
      <c r="A47" s="10"/>
      <c r="B47" s="307" t="s">
        <v>293</v>
      </c>
      <c r="C47" s="309" t="s">
        <v>374</v>
      </c>
      <c r="D47" s="309" t="s">
        <v>233</v>
      </c>
      <c r="E47" s="76"/>
      <c r="H47" s="50"/>
    </row>
    <row r="48" spans="1:8">
      <c r="A48" s="10"/>
      <c r="B48" s="307" t="s">
        <v>293</v>
      </c>
      <c r="C48" s="309" t="s">
        <v>316</v>
      </c>
      <c r="D48" s="309" t="s">
        <v>233</v>
      </c>
      <c r="E48" s="76"/>
      <c r="H48" s="50"/>
    </row>
    <row r="49" spans="2:14">
      <c r="B49" s="307" t="s">
        <v>44</v>
      </c>
      <c r="C49" s="309" t="s">
        <v>225</v>
      </c>
      <c r="D49" s="309" t="s">
        <v>233</v>
      </c>
      <c r="E49" s="76"/>
      <c r="N49" s="44"/>
    </row>
    <row r="50" spans="2:14">
      <c r="B50" s="448"/>
      <c r="C50" s="449"/>
      <c r="D50" s="449"/>
      <c r="E50" s="450"/>
      <c r="H50" s="50"/>
      <c r="N50" s="44"/>
    </row>
    <row r="51" spans="2:14" ht="13.5" thickBot="1">
      <c r="B51" s="310" t="s">
        <v>238</v>
      </c>
      <c r="C51" s="302" t="s">
        <v>232</v>
      </c>
      <c r="D51" s="302" t="s">
        <v>222</v>
      </c>
      <c r="E51" s="303" t="s">
        <v>535</v>
      </c>
      <c r="H51" s="50"/>
      <c r="N51" s="44"/>
    </row>
    <row r="52" spans="2:14">
      <c r="B52" s="304" t="s">
        <v>71</v>
      </c>
      <c r="C52" s="306" t="s">
        <v>225</v>
      </c>
      <c r="D52" s="306" t="s">
        <v>233</v>
      </c>
      <c r="E52" s="27"/>
      <c r="N52" s="10"/>
    </row>
    <row r="53" spans="2:14">
      <c r="B53" s="307" t="s">
        <v>72</v>
      </c>
      <c r="C53" s="309" t="s">
        <v>225</v>
      </c>
      <c r="D53" s="309" t="s">
        <v>233</v>
      </c>
      <c r="E53" s="26"/>
      <c r="N53" s="10"/>
    </row>
    <row r="54" spans="2:14">
      <c r="B54" s="307" t="s">
        <v>44</v>
      </c>
      <c r="C54" s="309" t="s">
        <v>225</v>
      </c>
      <c r="D54" s="309" t="s">
        <v>233</v>
      </c>
      <c r="E54" s="26"/>
      <c r="N54" s="10"/>
    </row>
    <row r="55" spans="2:14" collapsed="1">
      <c r="N55" s="10"/>
    </row>
    <row r="56" spans="2:14">
      <c r="B56" s="451" t="s">
        <v>459</v>
      </c>
      <c r="C56" s="451"/>
      <c r="D56" s="451"/>
      <c r="E56" s="451"/>
    </row>
    <row r="57" spans="2:14" ht="13.5" thickBot="1">
      <c r="B57" s="311"/>
      <c r="C57" s="302" t="s">
        <v>232</v>
      </c>
      <c r="D57" s="302" t="s">
        <v>222</v>
      </c>
      <c r="E57" s="303" t="s">
        <v>535</v>
      </c>
    </row>
    <row r="58" spans="2:14">
      <c r="B58" s="304" t="s">
        <v>241</v>
      </c>
      <c r="C58" s="306" t="s">
        <v>225</v>
      </c>
      <c r="D58" s="306" t="s">
        <v>237</v>
      </c>
      <c r="E58" s="76"/>
    </row>
    <row r="59" spans="2:14">
      <c r="B59" s="307" t="s">
        <v>239</v>
      </c>
      <c r="C59" s="309" t="s">
        <v>225</v>
      </c>
      <c r="D59" s="309" t="s">
        <v>237</v>
      </c>
      <c r="E59" s="78"/>
      <c r="G59" s="312"/>
      <c r="H59" s="312"/>
      <c r="I59" s="312"/>
    </row>
    <row r="60" spans="2:14">
      <c r="B60" s="307" t="s">
        <v>240</v>
      </c>
      <c r="C60" s="309" t="s">
        <v>225</v>
      </c>
      <c r="D60" s="309" t="s">
        <v>237</v>
      </c>
      <c r="E60" s="78"/>
    </row>
    <row r="61" spans="2:14">
      <c r="G61" s="312"/>
    </row>
    <row r="62" spans="2:14">
      <c r="B62" s="455" t="s">
        <v>415</v>
      </c>
      <c r="C62" s="455"/>
      <c r="D62" s="455"/>
      <c r="E62" s="455"/>
      <c r="F62" s="455"/>
    </row>
    <row r="63" spans="2:14" ht="15.75" customHeight="1" thickBot="1">
      <c r="B63" s="311"/>
      <c r="C63" s="302" t="s">
        <v>232</v>
      </c>
      <c r="D63" s="302" t="s">
        <v>222</v>
      </c>
      <c r="E63" s="303" t="s">
        <v>535</v>
      </c>
    </row>
    <row r="64" spans="2:14">
      <c r="B64" s="304" t="s">
        <v>502</v>
      </c>
      <c r="C64" s="306" t="s">
        <v>225</v>
      </c>
      <c r="D64" s="306" t="s">
        <v>225</v>
      </c>
      <c r="E64" s="79"/>
    </row>
    <row r="65" spans="1:5">
      <c r="B65" s="304" t="s">
        <v>246</v>
      </c>
      <c r="C65" s="306" t="s">
        <v>225</v>
      </c>
      <c r="D65" s="306" t="s">
        <v>225</v>
      </c>
      <c r="E65" s="79"/>
    </row>
    <row r="66" spans="1:5" ht="12.75" hidden="1" customHeight="1">
      <c r="B66" s="448"/>
      <c r="C66" s="449"/>
      <c r="D66" s="449"/>
      <c r="E66" s="450"/>
    </row>
    <row r="67" spans="1:5" ht="13.5" hidden="1" customHeight="1" thickBot="1">
      <c r="B67" s="310" t="s">
        <v>93</v>
      </c>
      <c r="C67" s="302" t="s">
        <v>232</v>
      </c>
      <c r="D67" s="310" t="s">
        <v>250</v>
      </c>
      <c r="E67" s="310" t="s">
        <v>424</v>
      </c>
    </row>
    <row r="68" spans="1:5" ht="12.75" hidden="1" customHeight="1">
      <c r="B68" s="304" t="s">
        <v>6</v>
      </c>
      <c r="C68" s="306" t="s">
        <v>225</v>
      </c>
      <c r="D68" s="79"/>
      <c r="E68" s="76"/>
    </row>
    <row r="69" spans="1:5" ht="12.75" hidden="1" customHeight="1">
      <c r="B69" s="307" t="s">
        <v>95</v>
      </c>
      <c r="C69" s="309" t="s">
        <v>225</v>
      </c>
      <c r="D69" s="79"/>
      <c r="E69" s="76"/>
    </row>
    <row r="70" spans="1:5" ht="12.75" hidden="1" customHeight="1">
      <c r="B70" s="307" t="s">
        <v>245</v>
      </c>
      <c r="C70" s="309" t="s">
        <v>225</v>
      </c>
      <c r="D70" s="79"/>
      <c r="E70" s="76"/>
    </row>
    <row r="71" spans="1:5" ht="12.75" hidden="1" customHeight="1">
      <c r="B71" s="307" t="s">
        <v>178</v>
      </c>
      <c r="C71" s="309" t="s">
        <v>225</v>
      </c>
      <c r="D71" s="79"/>
      <c r="E71" s="76"/>
    </row>
    <row r="72" spans="1:5" ht="12.75" hidden="1" customHeight="1">
      <c r="B72" s="307" t="s">
        <v>98</v>
      </c>
      <c r="C72" s="309" t="s">
        <v>225</v>
      </c>
      <c r="D72" s="79"/>
      <c r="E72" s="76"/>
    </row>
    <row r="73" spans="1:5" ht="12.75" hidden="1" customHeight="1">
      <c r="B73" s="307" t="s">
        <v>97</v>
      </c>
      <c r="C73" s="309" t="s">
        <v>225</v>
      </c>
      <c r="D73" s="79"/>
      <c r="E73" s="76"/>
    </row>
    <row r="74" spans="1:5" ht="12.75" hidden="1" customHeight="1">
      <c r="B74" s="307" t="s">
        <v>96</v>
      </c>
      <c r="C74" s="309" t="s">
        <v>225</v>
      </c>
      <c r="D74" s="79"/>
      <c r="E74" s="76"/>
    </row>
    <row r="75" spans="1:5" hidden="1" collapsed="1">
      <c r="B75" s="448"/>
      <c r="C75" s="449"/>
      <c r="D75" s="449"/>
      <c r="E75" s="450"/>
    </row>
    <row r="76" spans="1:5" ht="13.5" hidden="1" thickBot="1">
      <c r="B76" s="310" t="s">
        <v>251</v>
      </c>
      <c r="C76" s="302" t="s">
        <v>232</v>
      </c>
      <c r="D76" s="302" t="s">
        <v>222</v>
      </c>
      <c r="E76" s="310" t="s">
        <v>75</v>
      </c>
    </row>
    <row r="77" spans="1:5" hidden="1">
      <c r="B77" s="304" t="s">
        <v>177</v>
      </c>
      <c r="C77" s="306" t="s">
        <v>225</v>
      </c>
      <c r="D77" s="306" t="s">
        <v>244</v>
      </c>
      <c r="E77" s="76"/>
    </row>
    <row r="79" spans="1:5">
      <c r="A79" s="7"/>
      <c r="B79" s="452" t="s">
        <v>382</v>
      </c>
      <c r="C79" s="452"/>
      <c r="D79" s="452"/>
      <c r="E79" s="453"/>
    </row>
    <row r="81" spans="2:9" ht="14.25">
      <c r="B81" s="446" t="s">
        <v>425</v>
      </c>
      <c r="C81" s="447"/>
      <c r="D81" s="447"/>
      <c r="E81" s="313">
        <f>IF(ISERROR('Síntese das emissões'!C53),"-",'Síntese das emissões'!C53)</f>
        <v>0</v>
      </c>
    </row>
    <row r="82" spans="2:9">
      <c r="B82" s="314"/>
      <c r="C82" s="314"/>
      <c r="D82" s="314"/>
      <c r="E82" s="315"/>
    </row>
    <row r="83" spans="2:9" ht="14.25">
      <c r="B83" s="446" t="s">
        <v>426</v>
      </c>
      <c r="C83" s="447"/>
      <c r="D83" s="447"/>
      <c r="E83" s="313" t="str">
        <f>IF(ISERROR('Síntese das emissões'!D53),"-",'Síntese das emissões'!D53)</f>
        <v>-</v>
      </c>
    </row>
    <row r="84" spans="2:9">
      <c r="B84" s="316"/>
      <c r="C84" s="316"/>
      <c r="D84" s="316"/>
      <c r="E84" s="317"/>
    </row>
    <row r="85" spans="2:9" ht="14.25">
      <c r="B85" s="446" t="s">
        <v>427</v>
      </c>
      <c r="C85" s="447"/>
      <c r="D85" s="447"/>
      <c r="E85" s="313" t="str">
        <f>IF(ISERROR('Síntese das emissões'!E53),"-",'Síntese das emissões'!E53)</f>
        <v>-</v>
      </c>
    </row>
    <row r="93" spans="2:9">
      <c r="I93" s="318"/>
    </row>
    <row r="94" spans="2:9">
      <c r="I94" s="318"/>
    </row>
    <row r="95" spans="2:9">
      <c r="H95" s="319"/>
      <c r="I95" s="318"/>
    </row>
  </sheetData>
  <dataConsolidate topLabels="1">
    <dataRefs count="2">
      <dataRef ref="H16:J21" sheet="Soja"/>
      <dataRef ref="H23:J28" sheet="Soja"/>
    </dataRefs>
  </dataConsolidate>
  <mergeCells count="14">
    <mergeCell ref="B14:E14"/>
    <mergeCell ref="B66:E66"/>
    <mergeCell ref="B79:E79"/>
    <mergeCell ref="B16:E16"/>
    <mergeCell ref="B23:E23"/>
    <mergeCell ref="B56:E56"/>
    <mergeCell ref="B44:E44"/>
    <mergeCell ref="B62:F62"/>
    <mergeCell ref="B50:E50"/>
    <mergeCell ref="B85:D85"/>
    <mergeCell ref="B83:D83"/>
    <mergeCell ref="B81:D81"/>
    <mergeCell ref="B75:E75"/>
    <mergeCell ref="B37:E37"/>
  </mergeCells>
  <dataValidations count="18">
    <dataValidation type="decimal" allowBlank="1" showInputMessage="1" showErrorMessage="1" sqref="E52:E54 E46:E49">
      <formula1>0</formula1>
      <formula2>999999</formula2>
    </dataValidation>
    <dataValidation type="list" allowBlank="1" showInputMessage="1" showErrorMessage="1" errorTitle="Valor inválido" error="Insira apenas valores numéricos" sqref="E65">
      <formula1>lista_tipoconsumodiesel</formula1>
    </dataValidation>
    <dataValidation type="list" allowBlank="1" showInputMessage="1" showErrorMessage="1" errorTitle="Valor inválido" error="Insira apenas valores numéricos" sqref="E27">
      <formula1>lista_classetexturalsolo</formula1>
    </dataValidation>
    <dataValidation type="decimal" allowBlank="1" showInputMessage="1" showErrorMessage="1" errorTitle="Valor inválido" error="Insira apenas valores numéricos" sqref="E58:E60 E32:E35 E39:E43 E68:E74">
      <formula1>0</formula1>
      <formula2>9999999999</formula2>
    </dataValidation>
    <dataValidation type="list" allowBlank="1" showInputMessage="1" showErrorMessage="1" errorTitle="Valor inválido" error="Insira um valor existente na lista suspensa" sqref="E29">
      <formula1>lista_usoanteriorterra</formula1>
    </dataValidation>
    <dataValidation type="list" allowBlank="1" showInputMessage="1" showErrorMessage="1" errorTitle="Valor inválido" error="Insira um valor existente na lista suspensa" sqref="E31">
      <formula1>lista_tempoadocao</formula1>
    </dataValidation>
    <dataValidation type="list" allowBlank="1" showInputMessage="1" showErrorMessage="1" errorTitle="Valor inválido" error="Insira um valor existente na lista suspensa" sqref="E30">
      <formula1>lista_usoatualterra</formula1>
    </dataValidation>
    <dataValidation type="list" allowBlank="1" showInputMessage="1" showErrorMessage="1" errorTitle="Valor inválido" error="Insira um valor existente na lista suspensa" sqref="E28">
      <formula1>lista_teorargila</formula1>
    </dataValidation>
    <dataValidation allowBlank="1" showInputMessage="1" showErrorMessage="1" errorTitle="Valor inválido" error="Insira apenas valores numéricos" sqref="E77"/>
    <dataValidation type="list" allowBlank="1" showInputMessage="1" showErrorMessage="1" sqref="B68:B74">
      <formula1>lista_soja_operacoesmecanizadas</formula1>
    </dataValidation>
    <dataValidation type="date" operator="lessThan" allowBlank="1" showInputMessage="1" showErrorMessage="1" errorTitle="Data inválida" error="A data de plantio deve ser anterior à data de colheita" promptTitle="Exemplo" prompt="01/01/2010" sqref="E25">
      <formula1>E26</formula1>
    </dataValidation>
    <dataValidation type="date" operator="greaterThan" allowBlank="1" showInputMessage="1" showErrorMessage="1" errorTitle="Data inválida" error="A data de colheita deve ser posterior à data de plantio" promptTitle="Exemplo" prompt="01/01/2010" sqref="E26">
      <formula1>E25</formula1>
    </dataValidation>
    <dataValidation type="list" allowBlank="1" showInputMessage="1" showErrorMessage="1" sqref="D68:D74">
      <formula1>lista_binaria</formula1>
    </dataValidation>
    <dataValidation type="list" allowBlank="1" showInputMessage="1" showErrorMessage="1" errorTitle="Valor inválido" error="Insira um valor existente na lista suspensa" sqref="E18">
      <formula1>lista_uf</formula1>
    </dataValidation>
    <dataValidation type="list" allowBlank="1" showInputMessage="1" showErrorMessage="1" errorTitle="Valor inválido" error="Insira um valor existente na lista suspensa" sqref="E21">
      <formula1>lista_bioma</formula1>
    </dataValidation>
    <dataValidation type="decimal" allowBlank="1" showInputMessage="1" showErrorMessage="1" errorTitle="Valor inválido" error="Insira apenas valores numéricos" promptTitle="Exemplo" prompt="-22,9" sqref="E19">
      <formula1>-9999999999</formula1>
      <formula2>99999999999</formula2>
    </dataValidation>
    <dataValidation type="decimal" allowBlank="1" showInputMessage="1" showErrorMessage="1" errorTitle="Valor inválido" error="Insira apenas valores numéricos" promptTitle="Exemplo" prompt="-47,06" sqref="E20">
      <formula1>-9999999999</formula1>
      <formula2>99999999999</formula2>
    </dataValidation>
    <dataValidation type="list" allowBlank="1" showInputMessage="1" showErrorMessage="1" errorTitle="Valor inválido" error="Insira apenas valores numéricos" sqref="E64">
      <formula1>lista_tipocombustivel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E81 E83 E85" unlocked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Milho">
    <tabColor theme="3"/>
  </sheetPr>
  <dimension ref="A14:E88"/>
  <sheetViews>
    <sheetView showGridLines="0" showRowColHeaders="0" workbookViewId="0"/>
  </sheetViews>
  <sheetFormatPr defaultRowHeight="12.75"/>
  <cols>
    <col min="1" max="1" width="3.7109375" style="20" customWidth="1"/>
    <col min="2" max="2" width="33.5703125" style="20" bestFit="1" customWidth="1"/>
    <col min="3" max="3" width="26.42578125" style="20" bestFit="1" customWidth="1"/>
    <col min="4" max="4" width="18.85546875" style="20" bestFit="1" customWidth="1"/>
    <col min="5" max="5" width="30.7109375" style="20" customWidth="1"/>
    <col min="6" max="6" width="19.42578125" style="20" bestFit="1" customWidth="1"/>
    <col min="7" max="16384" width="9.140625" style="20"/>
  </cols>
  <sheetData>
    <row r="14" spans="1:5">
      <c r="A14" s="7"/>
      <c r="B14" s="452" t="s">
        <v>389</v>
      </c>
      <c r="C14" s="452"/>
      <c r="D14" s="452"/>
      <c r="E14" s="453"/>
    </row>
    <row r="15" spans="1:5">
      <c r="A15" s="44"/>
      <c r="B15" s="44"/>
      <c r="C15" s="44"/>
      <c r="D15" s="44"/>
      <c r="E15" s="44"/>
    </row>
    <row r="16" spans="1:5">
      <c r="A16" s="44"/>
      <c r="B16" s="451" t="s">
        <v>247</v>
      </c>
      <c r="C16" s="451"/>
      <c r="D16" s="451"/>
      <c r="E16" s="451"/>
    </row>
    <row r="17" spans="1:5" ht="13.5" thickBot="1">
      <c r="A17" s="44"/>
      <c r="B17" s="301"/>
      <c r="C17" s="302" t="s">
        <v>232</v>
      </c>
      <c r="D17" s="302" t="s">
        <v>222</v>
      </c>
      <c r="E17" s="303" t="s">
        <v>535</v>
      </c>
    </row>
    <row r="18" spans="1:5">
      <c r="A18" s="44"/>
      <c r="B18" s="304" t="s">
        <v>46</v>
      </c>
      <c r="C18" s="305" t="s">
        <v>225</v>
      </c>
      <c r="D18" s="306" t="s">
        <v>225</v>
      </c>
      <c r="E18" s="9"/>
    </row>
    <row r="19" spans="1:5">
      <c r="A19" s="44"/>
      <c r="B19" s="307" t="s">
        <v>230</v>
      </c>
      <c r="C19" s="308" t="s">
        <v>225</v>
      </c>
      <c r="D19" s="309" t="s">
        <v>223</v>
      </c>
      <c r="E19" s="321"/>
    </row>
    <row r="20" spans="1:5">
      <c r="A20" s="44"/>
      <c r="B20" s="307" t="s">
        <v>231</v>
      </c>
      <c r="C20" s="308" t="s">
        <v>225</v>
      </c>
      <c r="D20" s="309" t="s">
        <v>223</v>
      </c>
      <c r="E20" s="16"/>
    </row>
    <row r="21" spans="1:5">
      <c r="A21" s="44"/>
      <c r="B21" s="307" t="s">
        <v>8</v>
      </c>
      <c r="C21" s="308" t="s">
        <v>225</v>
      </c>
      <c r="D21" s="309" t="s">
        <v>225</v>
      </c>
      <c r="E21" s="9"/>
    </row>
    <row r="22" spans="1:5">
      <c r="A22" s="44"/>
    </row>
    <row r="23" spans="1:5">
      <c r="A23" s="44"/>
      <c r="B23" s="451" t="s">
        <v>361</v>
      </c>
      <c r="C23" s="451"/>
      <c r="D23" s="451"/>
      <c r="E23" s="451"/>
    </row>
    <row r="24" spans="1:5" ht="13.5" thickBot="1">
      <c r="A24" s="44"/>
      <c r="B24" s="301"/>
      <c r="C24" s="302" t="s">
        <v>232</v>
      </c>
      <c r="D24" s="302" t="s">
        <v>222</v>
      </c>
      <c r="E24" s="303" t="s">
        <v>535</v>
      </c>
    </row>
    <row r="25" spans="1:5">
      <c r="A25" s="44"/>
      <c r="B25" s="304" t="s">
        <v>148</v>
      </c>
      <c r="C25" s="306" t="s">
        <v>225</v>
      </c>
      <c r="D25" s="306" t="s">
        <v>225</v>
      </c>
      <c r="E25" s="28"/>
    </row>
    <row r="26" spans="1:5">
      <c r="A26" s="44"/>
      <c r="B26" s="307" t="s">
        <v>149</v>
      </c>
      <c r="C26" s="309" t="s">
        <v>225</v>
      </c>
      <c r="D26" s="309" t="s">
        <v>225</v>
      </c>
      <c r="E26" s="15"/>
    </row>
    <row r="27" spans="1:5">
      <c r="A27" s="44"/>
      <c r="B27" s="307" t="s">
        <v>104</v>
      </c>
      <c r="C27" s="309" t="s">
        <v>225</v>
      </c>
      <c r="D27" s="309" t="s">
        <v>225</v>
      </c>
      <c r="E27" s="9"/>
    </row>
    <row r="28" spans="1:5">
      <c r="A28" s="44"/>
      <c r="B28" s="307" t="s">
        <v>9</v>
      </c>
      <c r="C28" s="309" t="s">
        <v>225</v>
      </c>
      <c r="D28" s="309" t="s">
        <v>225</v>
      </c>
      <c r="E28" s="9"/>
    </row>
    <row r="29" spans="1:5">
      <c r="A29" s="44"/>
      <c r="B29" s="307" t="s">
        <v>48</v>
      </c>
      <c r="C29" s="309" t="s">
        <v>225</v>
      </c>
      <c r="D29" s="309" t="s">
        <v>225</v>
      </c>
      <c r="E29" s="9"/>
    </row>
    <row r="30" spans="1:5">
      <c r="A30" s="44"/>
      <c r="B30" s="307" t="s">
        <v>214</v>
      </c>
      <c r="C30" s="309" t="s">
        <v>225</v>
      </c>
      <c r="D30" s="309" t="s">
        <v>225</v>
      </c>
      <c r="E30" s="9"/>
    </row>
    <row r="31" spans="1:5">
      <c r="A31" s="44"/>
      <c r="B31" s="307" t="s">
        <v>47</v>
      </c>
      <c r="C31" s="309" t="s">
        <v>225</v>
      </c>
      <c r="D31" s="309" t="s">
        <v>225</v>
      </c>
      <c r="E31" s="9"/>
    </row>
    <row r="32" spans="1:5">
      <c r="A32" s="44"/>
      <c r="B32" s="307" t="s">
        <v>242</v>
      </c>
      <c r="C32" s="309" t="s">
        <v>225</v>
      </c>
      <c r="D32" s="309" t="s">
        <v>226</v>
      </c>
      <c r="E32" s="16"/>
    </row>
    <row r="33" spans="1:5">
      <c r="A33" s="44"/>
      <c r="B33" s="307" t="s">
        <v>360</v>
      </c>
      <c r="C33" s="309" t="s">
        <v>225</v>
      </c>
      <c r="D33" s="309" t="s">
        <v>226</v>
      </c>
      <c r="E33" s="16"/>
    </row>
    <row r="34" spans="1:5">
      <c r="A34" s="44"/>
      <c r="B34" s="307" t="s">
        <v>228</v>
      </c>
      <c r="C34" s="309" t="s">
        <v>225</v>
      </c>
      <c r="D34" s="309" t="s">
        <v>226</v>
      </c>
      <c r="E34" s="16"/>
    </row>
    <row r="35" spans="1:5">
      <c r="A35" s="44"/>
      <c r="B35" s="307" t="s">
        <v>229</v>
      </c>
      <c r="C35" s="309" t="s">
        <v>225</v>
      </c>
      <c r="D35" s="309" t="s">
        <v>227</v>
      </c>
      <c r="E35" s="16"/>
    </row>
    <row r="36" spans="1:5">
      <c r="A36" s="44"/>
    </row>
    <row r="37" spans="1:5">
      <c r="A37" s="44"/>
      <c r="B37" s="451" t="s">
        <v>248</v>
      </c>
      <c r="C37" s="451"/>
      <c r="D37" s="451"/>
      <c r="E37" s="451"/>
    </row>
    <row r="38" spans="1:5" ht="13.5" thickBot="1">
      <c r="A38" s="44"/>
      <c r="B38" s="310" t="s">
        <v>252</v>
      </c>
      <c r="C38" s="302" t="s">
        <v>232</v>
      </c>
      <c r="D38" s="302" t="s">
        <v>222</v>
      </c>
      <c r="E38" s="303" t="s">
        <v>535</v>
      </c>
    </row>
    <row r="39" spans="1:5">
      <c r="A39" s="44"/>
      <c r="B39" s="304" t="s">
        <v>234</v>
      </c>
      <c r="C39" s="306" t="s">
        <v>243</v>
      </c>
      <c r="D39" s="306" t="s">
        <v>233</v>
      </c>
      <c r="E39" s="16"/>
    </row>
    <row r="40" spans="1:5">
      <c r="A40" s="44"/>
      <c r="B40" s="307" t="s">
        <v>364</v>
      </c>
      <c r="C40" s="309" t="s">
        <v>225</v>
      </c>
      <c r="D40" s="309" t="s">
        <v>224</v>
      </c>
      <c r="E40" s="16"/>
    </row>
    <row r="41" spans="1:5">
      <c r="A41" s="10"/>
      <c r="B41" s="307" t="s">
        <v>221</v>
      </c>
      <c r="C41" s="309" t="s">
        <v>225</v>
      </c>
      <c r="D41" s="309" t="s">
        <v>233</v>
      </c>
      <c r="E41" s="16"/>
    </row>
    <row r="42" spans="1:5">
      <c r="A42" s="10"/>
      <c r="B42" s="307" t="s">
        <v>235</v>
      </c>
      <c r="C42" s="309" t="s">
        <v>225</v>
      </c>
      <c r="D42" s="309" t="s">
        <v>233</v>
      </c>
      <c r="E42" s="16"/>
    </row>
    <row r="43" spans="1:5">
      <c r="A43" s="44"/>
      <c r="B43" s="307" t="s">
        <v>236</v>
      </c>
      <c r="C43" s="309" t="s">
        <v>225</v>
      </c>
      <c r="D43" s="309" t="s">
        <v>233</v>
      </c>
      <c r="E43" s="16"/>
    </row>
    <row r="44" spans="1:5">
      <c r="A44" s="44"/>
      <c r="B44" s="448"/>
      <c r="C44" s="449"/>
      <c r="D44" s="449"/>
      <c r="E44" s="450"/>
    </row>
    <row r="45" spans="1:5" ht="13.5" thickBot="1">
      <c r="A45" s="10"/>
      <c r="B45" s="310" t="s">
        <v>50</v>
      </c>
      <c r="C45" s="302" t="s">
        <v>232</v>
      </c>
      <c r="D45" s="302" t="s">
        <v>222</v>
      </c>
      <c r="E45" s="303" t="s">
        <v>535</v>
      </c>
    </row>
    <row r="46" spans="1:5">
      <c r="A46" s="10"/>
      <c r="B46" s="304" t="s">
        <v>60</v>
      </c>
      <c r="C46" s="306" t="s">
        <v>225</v>
      </c>
      <c r="D46" s="306" t="s">
        <v>233</v>
      </c>
      <c r="E46" s="76"/>
    </row>
    <row r="47" spans="1:5">
      <c r="A47" s="10"/>
      <c r="B47" s="307" t="s">
        <v>293</v>
      </c>
      <c r="C47" s="309" t="s">
        <v>374</v>
      </c>
      <c r="D47" s="309" t="s">
        <v>233</v>
      </c>
      <c r="E47" s="76"/>
    </row>
    <row r="48" spans="1:5">
      <c r="A48" s="10"/>
      <c r="B48" s="307" t="s">
        <v>293</v>
      </c>
      <c r="C48" s="309" t="s">
        <v>316</v>
      </c>
      <c r="D48" s="309" t="s">
        <v>233</v>
      </c>
      <c r="E48" s="76"/>
    </row>
    <row r="49" spans="2:5">
      <c r="B49" s="307" t="s">
        <v>44</v>
      </c>
      <c r="C49" s="309" t="s">
        <v>225</v>
      </c>
      <c r="D49" s="309" t="s">
        <v>233</v>
      </c>
      <c r="E49" s="76"/>
    </row>
    <row r="50" spans="2:5">
      <c r="B50" s="448"/>
      <c r="C50" s="449"/>
      <c r="D50" s="449"/>
      <c r="E50" s="450"/>
    </row>
    <row r="51" spans="2:5" ht="13.5" thickBot="1">
      <c r="B51" s="310" t="s">
        <v>238</v>
      </c>
      <c r="C51" s="302" t="s">
        <v>232</v>
      </c>
      <c r="D51" s="302" t="s">
        <v>222</v>
      </c>
      <c r="E51" s="303" t="s">
        <v>535</v>
      </c>
    </row>
    <row r="52" spans="2:5">
      <c r="B52" s="304" t="s">
        <v>71</v>
      </c>
      <c r="C52" s="306" t="s">
        <v>225</v>
      </c>
      <c r="D52" s="306" t="s">
        <v>233</v>
      </c>
      <c r="E52" s="27"/>
    </row>
    <row r="53" spans="2:5">
      <c r="B53" s="307" t="s">
        <v>72</v>
      </c>
      <c r="C53" s="309" t="s">
        <v>225</v>
      </c>
      <c r="D53" s="309" t="s">
        <v>233</v>
      </c>
      <c r="E53" s="26"/>
    </row>
    <row r="54" spans="2:5">
      <c r="B54" s="307" t="s">
        <v>44</v>
      </c>
      <c r="C54" s="309" t="s">
        <v>225</v>
      </c>
      <c r="D54" s="309" t="s">
        <v>233</v>
      </c>
      <c r="E54" s="26"/>
    </row>
    <row r="56" spans="2:5">
      <c r="B56" s="451" t="s">
        <v>249</v>
      </c>
      <c r="C56" s="451"/>
      <c r="D56" s="451"/>
      <c r="E56" s="451"/>
    </row>
    <row r="57" spans="2:5" ht="13.5" thickBot="1">
      <c r="B57" s="311"/>
      <c r="C57" s="302" t="s">
        <v>232</v>
      </c>
      <c r="D57" s="302" t="s">
        <v>222</v>
      </c>
      <c r="E57" s="303" t="s">
        <v>535</v>
      </c>
    </row>
    <row r="58" spans="2:5">
      <c r="B58" s="304" t="s">
        <v>241</v>
      </c>
      <c r="C58" s="306" t="s">
        <v>225</v>
      </c>
      <c r="D58" s="306" t="s">
        <v>237</v>
      </c>
      <c r="E58" s="16"/>
    </row>
    <row r="59" spans="2:5">
      <c r="B59" s="307" t="s">
        <v>239</v>
      </c>
      <c r="C59" s="309" t="s">
        <v>225</v>
      </c>
      <c r="D59" s="309" t="s">
        <v>237</v>
      </c>
      <c r="E59" s="16"/>
    </row>
    <row r="60" spans="2:5">
      <c r="B60" s="307" t="s">
        <v>240</v>
      </c>
      <c r="C60" s="309" t="s">
        <v>225</v>
      </c>
      <c r="D60" s="309" t="s">
        <v>237</v>
      </c>
      <c r="E60" s="16"/>
    </row>
    <row r="62" spans="2:5">
      <c r="B62" s="451" t="s">
        <v>415</v>
      </c>
      <c r="C62" s="451"/>
      <c r="D62" s="451"/>
      <c r="E62" s="451"/>
    </row>
    <row r="63" spans="2:5" ht="13.5" thickBot="1">
      <c r="B63" s="311"/>
      <c r="C63" s="302" t="s">
        <v>232</v>
      </c>
      <c r="D63" s="302" t="s">
        <v>222</v>
      </c>
      <c r="E63" s="303" t="s">
        <v>535</v>
      </c>
    </row>
    <row r="64" spans="2:5">
      <c r="B64" s="304" t="s">
        <v>502</v>
      </c>
      <c r="C64" s="306" t="s">
        <v>225</v>
      </c>
      <c r="D64" s="306" t="s">
        <v>225</v>
      </c>
      <c r="E64" s="79"/>
    </row>
    <row r="65" spans="2:5">
      <c r="B65" s="304" t="s">
        <v>246</v>
      </c>
      <c r="C65" s="306" t="s">
        <v>225</v>
      </c>
      <c r="D65" s="306" t="s">
        <v>225</v>
      </c>
      <c r="E65" s="79"/>
    </row>
    <row r="66" spans="2:5" hidden="1">
      <c r="B66" s="448"/>
      <c r="C66" s="449"/>
      <c r="D66" s="449"/>
      <c r="E66" s="450"/>
    </row>
    <row r="67" spans="2:5" ht="13.5" hidden="1" thickBot="1">
      <c r="B67" s="310" t="s">
        <v>93</v>
      </c>
      <c r="C67" s="302" t="s">
        <v>232</v>
      </c>
      <c r="D67" s="310" t="s">
        <v>250</v>
      </c>
      <c r="E67" s="310" t="s">
        <v>424</v>
      </c>
    </row>
    <row r="68" spans="2:5" hidden="1">
      <c r="B68" s="304" t="s">
        <v>6</v>
      </c>
      <c r="C68" s="306" t="s">
        <v>225</v>
      </c>
      <c r="D68" s="79"/>
      <c r="E68" s="76"/>
    </row>
    <row r="69" spans="2:5" hidden="1">
      <c r="B69" s="307" t="s">
        <v>111</v>
      </c>
      <c r="C69" s="309" t="s">
        <v>225</v>
      </c>
      <c r="D69" s="79"/>
      <c r="E69" s="76"/>
    </row>
    <row r="70" spans="2:5" hidden="1">
      <c r="B70" s="307" t="s">
        <v>112</v>
      </c>
      <c r="C70" s="309" t="s">
        <v>225</v>
      </c>
      <c r="D70" s="79"/>
      <c r="E70" s="76"/>
    </row>
    <row r="71" spans="2:5" hidden="1">
      <c r="B71" s="307" t="s">
        <v>131</v>
      </c>
      <c r="C71" s="309" t="s">
        <v>225</v>
      </c>
      <c r="D71" s="79"/>
      <c r="E71" s="76"/>
    </row>
    <row r="72" spans="2:5" hidden="1">
      <c r="B72" s="307" t="s">
        <v>380</v>
      </c>
      <c r="C72" s="309" t="s">
        <v>225</v>
      </c>
      <c r="D72" s="79"/>
      <c r="E72" s="76"/>
    </row>
    <row r="73" spans="2:5" hidden="1">
      <c r="B73" s="307" t="s">
        <v>118</v>
      </c>
      <c r="C73" s="309" t="s">
        <v>225</v>
      </c>
      <c r="D73" s="79"/>
      <c r="E73" s="76"/>
    </row>
    <row r="74" spans="2:5" hidden="1">
      <c r="B74" s="307" t="s">
        <v>180</v>
      </c>
      <c r="C74" s="309" t="s">
        <v>225</v>
      </c>
      <c r="D74" s="79"/>
      <c r="E74" s="76"/>
    </row>
    <row r="75" spans="2:5" hidden="1">
      <c r="B75" s="307" t="s">
        <v>97</v>
      </c>
      <c r="C75" s="309" t="s">
        <v>225</v>
      </c>
      <c r="D75" s="79"/>
      <c r="E75" s="76"/>
    </row>
    <row r="76" spans="2:5" hidden="1">
      <c r="B76" s="307" t="s">
        <v>381</v>
      </c>
      <c r="C76" s="309" t="s">
        <v>225</v>
      </c>
      <c r="D76" s="79"/>
      <c r="E76" s="76"/>
    </row>
    <row r="77" spans="2:5" hidden="1">
      <c r="B77" s="307" t="s">
        <v>379</v>
      </c>
      <c r="C77" s="309" t="s">
        <v>225</v>
      </c>
      <c r="D77" s="79"/>
      <c r="E77" s="76"/>
    </row>
    <row r="78" spans="2:5" hidden="1">
      <c r="B78" s="448"/>
      <c r="C78" s="449"/>
      <c r="D78" s="449"/>
      <c r="E78" s="450"/>
    </row>
    <row r="79" spans="2:5" ht="13.5" hidden="1" thickBot="1">
      <c r="B79" s="310" t="s">
        <v>251</v>
      </c>
      <c r="C79" s="302" t="s">
        <v>232</v>
      </c>
      <c r="D79" s="302" t="s">
        <v>222</v>
      </c>
      <c r="E79" s="310" t="s">
        <v>75</v>
      </c>
    </row>
    <row r="80" spans="2:5" hidden="1">
      <c r="B80" s="304" t="s">
        <v>177</v>
      </c>
      <c r="C80" s="306" t="s">
        <v>225</v>
      </c>
      <c r="D80" s="306" t="s">
        <v>244</v>
      </c>
      <c r="E80" s="76"/>
    </row>
    <row r="82" spans="1:5">
      <c r="A82" s="7"/>
      <c r="B82" s="452" t="s">
        <v>382</v>
      </c>
      <c r="C82" s="452"/>
      <c r="D82" s="452"/>
      <c r="E82" s="453"/>
    </row>
    <row r="84" spans="1:5" ht="14.25">
      <c r="B84" s="446" t="s">
        <v>425</v>
      </c>
      <c r="C84" s="447"/>
      <c r="D84" s="447"/>
      <c r="E84" s="313">
        <f>IF(ISERROR('Síntese das emissões'!C88),"-",'Síntese das emissões'!C88)</f>
        <v>0</v>
      </c>
    </row>
    <row r="85" spans="1:5">
      <c r="B85" s="314"/>
      <c r="C85" s="314"/>
      <c r="D85" s="314"/>
      <c r="E85" s="315"/>
    </row>
    <row r="86" spans="1:5" ht="14.25">
      <c r="B86" s="446" t="s">
        <v>426</v>
      </c>
      <c r="C86" s="447"/>
      <c r="D86" s="447"/>
      <c r="E86" s="313" t="str">
        <f>IF(ISERROR('Síntese das emissões'!D88),"-",'Síntese das emissões'!D88)</f>
        <v>-</v>
      </c>
    </row>
    <row r="87" spans="1:5">
      <c r="B87" s="316"/>
      <c r="C87" s="316"/>
      <c r="D87" s="316"/>
      <c r="E87" s="317"/>
    </row>
    <row r="88" spans="1:5" ht="14.25">
      <c r="B88" s="446" t="s">
        <v>427</v>
      </c>
      <c r="C88" s="447"/>
      <c r="D88" s="447"/>
      <c r="E88" s="313" t="str">
        <f>IF(ISERROR('Síntese das emissões'!E88),"-",'Síntese das emissões'!E88)</f>
        <v>-</v>
      </c>
    </row>
  </sheetData>
  <mergeCells count="14">
    <mergeCell ref="B86:D86"/>
    <mergeCell ref="B88:D88"/>
    <mergeCell ref="B56:E56"/>
    <mergeCell ref="B62:E62"/>
    <mergeCell ref="B66:E66"/>
    <mergeCell ref="B78:E78"/>
    <mergeCell ref="B82:E82"/>
    <mergeCell ref="B84:D84"/>
    <mergeCell ref="B50:E50"/>
    <mergeCell ref="B14:E14"/>
    <mergeCell ref="B16:E16"/>
    <mergeCell ref="B23:E23"/>
    <mergeCell ref="B37:E37"/>
    <mergeCell ref="B44:E44"/>
  </mergeCells>
  <dataValidations count="18">
    <dataValidation type="list" allowBlank="1" showInputMessage="1" showErrorMessage="1" sqref="B68:B77">
      <formula1>lista_soja_operacoesmecanizadas</formula1>
    </dataValidation>
    <dataValidation allowBlank="1" showInputMessage="1" showErrorMessage="1" errorTitle="Valor inválido" error="Insira apenas valores numéricos" sqref="E80"/>
    <dataValidation type="list" allowBlank="1" showInputMessage="1" showErrorMessage="1" errorTitle="Valor inválido" error="Insira um valor existente na lista suspensa" sqref="E21">
      <formula1>lista_bioma</formula1>
    </dataValidation>
    <dataValidation type="list" allowBlank="1" showInputMessage="1" showErrorMessage="1" errorTitle="Valor inválido" error="Insira um valor existente na lista suspensa" sqref="E28">
      <formula1>lista_teorargila</formula1>
    </dataValidation>
    <dataValidation type="list" allowBlank="1" showInputMessage="1" showErrorMessage="1" errorTitle="Valor inválido" error="Insira um valor existente na lista suspensa" sqref="E31">
      <formula1>lista_tempoadocao</formula1>
    </dataValidation>
    <dataValidation type="list" allowBlank="1" showInputMessage="1" showErrorMessage="1" errorTitle="Valor inválido" error="Insira um valor existente na lista suspensa" sqref="E18">
      <formula1>lista_uf</formula1>
    </dataValidation>
    <dataValidation type="decimal" allowBlank="1" showInputMessage="1" showErrorMessage="1" errorTitle="Valor inválido" error="Insira apenas valores numéricos" sqref="E39:E43 E32:E35 E58:E60 E68:E77">
      <formula1>0</formula1>
      <formula2>9999999999</formula2>
    </dataValidation>
    <dataValidation type="list" allowBlank="1" showInputMessage="1" showErrorMessage="1" errorTitle="Valor inválido" error="Insira apenas valores numéricos" sqref="E27">
      <formula1>lista_classetexturalsolo</formula1>
    </dataValidation>
    <dataValidation type="list" allowBlank="1" showInputMessage="1" showErrorMessage="1" errorTitle="Valor inválido" error="Insira apenas valores numéricos" sqref="E65">
      <formula1>lista_tipoconsumodiesel</formula1>
    </dataValidation>
    <dataValidation type="decimal" allowBlank="1" showInputMessage="1" showErrorMessage="1" sqref="E52:E54 E46:E49">
      <formula1>0</formula1>
      <formula2>999999</formula2>
    </dataValidation>
    <dataValidation type="decimal" allowBlank="1" showInputMessage="1" showErrorMessage="1" errorTitle="Valor inválido" error="Insira apenas valores numéricos" promptTitle="Exemplo" prompt="-47,06" sqref="E20">
      <formula1>-9999999999</formula1>
      <formula2>99999999999</formula2>
    </dataValidation>
    <dataValidation type="decimal" allowBlank="1" showInputMessage="1" showErrorMessage="1" errorTitle="Valor inválido" error="Insira apenas valores numéricos" promptTitle="Exemplo" prompt="-22,9" sqref="E19">
      <formula1>-9999999999</formula1>
      <formula2>99999999999</formula2>
    </dataValidation>
    <dataValidation type="date" operator="greaterThan" allowBlank="1" showInputMessage="1" showErrorMessage="1" errorTitle="Data inválida" error="A data de colheita deve ser posterior à data de plantio" promptTitle="Exemplo" prompt="01/01/2010" sqref="E26">
      <formula1>E25</formula1>
    </dataValidation>
    <dataValidation type="date" operator="lessThan" allowBlank="1" showInputMessage="1" showErrorMessage="1" errorTitle="Data inválida" error="A data de plantio deve ser anterior à data de colheita" promptTitle="Exemplo" prompt="01/01/2010" sqref="E25">
      <formula1>E26</formula1>
    </dataValidation>
    <dataValidation type="list" allowBlank="1" showInputMessage="1" showErrorMessage="1" sqref="D68:D77">
      <formula1>lista_binaria</formula1>
    </dataValidation>
    <dataValidation type="list" allowBlank="1" showInputMessage="1" showErrorMessage="1" errorTitle="Valor inválido" error="Insira um valor existente na lista suspensa" sqref="E30">
      <formula1>lista_usoatualterra</formula1>
    </dataValidation>
    <dataValidation type="list" allowBlank="1" showInputMessage="1" showErrorMessage="1" errorTitle="Valor inválido" error="Insira um valor existente na lista suspensa" sqref="E29">
      <formula1>lista_usoanteriorterra</formula1>
    </dataValidation>
    <dataValidation type="list" allowBlank="1" showInputMessage="1" showErrorMessage="1" errorTitle="Valor inválido" error="Insira apenas valores numéricos" sqref="E64">
      <formula1>lista_tipocombustivel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Algodao">
    <tabColor theme="3"/>
  </sheetPr>
  <dimension ref="A14:H84"/>
  <sheetViews>
    <sheetView showGridLines="0" showRowColHeaders="0" workbookViewId="0"/>
  </sheetViews>
  <sheetFormatPr defaultRowHeight="12.75"/>
  <cols>
    <col min="1" max="1" width="3.7109375" style="20" customWidth="1"/>
    <col min="2" max="2" width="33.5703125" style="20" bestFit="1" customWidth="1"/>
    <col min="3" max="3" width="26.42578125" style="20" bestFit="1" customWidth="1"/>
    <col min="4" max="4" width="18.85546875" style="20" bestFit="1" customWidth="1"/>
    <col min="5" max="5" width="30.7109375" style="20" customWidth="1"/>
    <col min="6" max="6" width="19.42578125" style="20" bestFit="1" customWidth="1"/>
    <col min="7" max="16384" width="9.140625" style="20"/>
  </cols>
  <sheetData>
    <row r="14" spans="1:5">
      <c r="A14" s="7"/>
      <c r="B14" s="452" t="s">
        <v>390</v>
      </c>
      <c r="C14" s="452"/>
      <c r="D14" s="452"/>
      <c r="E14" s="453"/>
    </row>
    <row r="15" spans="1:5">
      <c r="A15" s="44"/>
      <c r="B15" s="44"/>
      <c r="C15" s="44"/>
      <c r="D15" s="44"/>
      <c r="E15" s="44"/>
    </row>
    <row r="16" spans="1:5">
      <c r="A16" s="44"/>
      <c r="B16" s="451" t="s">
        <v>247</v>
      </c>
      <c r="C16" s="451"/>
      <c r="D16" s="451"/>
      <c r="E16" s="451"/>
    </row>
    <row r="17" spans="1:8" ht="13.5" thickBot="1">
      <c r="A17" s="44"/>
      <c r="B17" s="301"/>
      <c r="C17" s="302" t="s">
        <v>232</v>
      </c>
      <c r="D17" s="302" t="s">
        <v>222</v>
      </c>
      <c r="E17" s="303" t="s">
        <v>535</v>
      </c>
    </row>
    <row r="18" spans="1:8">
      <c r="A18" s="44"/>
      <c r="B18" s="304" t="s">
        <v>46</v>
      </c>
      <c r="C18" s="305" t="s">
        <v>225</v>
      </c>
      <c r="D18" s="306" t="s">
        <v>225</v>
      </c>
      <c r="E18" s="9"/>
    </row>
    <row r="19" spans="1:8">
      <c r="A19" s="44"/>
      <c r="B19" s="307" t="s">
        <v>230</v>
      </c>
      <c r="C19" s="308" t="s">
        <v>225</v>
      </c>
      <c r="D19" s="309" t="s">
        <v>223</v>
      </c>
      <c r="E19" s="321"/>
    </row>
    <row r="20" spans="1:8">
      <c r="A20" s="44"/>
      <c r="B20" s="307" t="s">
        <v>231</v>
      </c>
      <c r="C20" s="308" t="s">
        <v>225</v>
      </c>
      <c r="D20" s="309" t="s">
        <v>223</v>
      </c>
      <c r="E20" s="16"/>
    </row>
    <row r="21" spans="1:8">
      <c r="A21" s="44"/>
      <c r="B21" s="307" t="s">
        <v>8</v>
      </c>
      <c r="C21" s="308" t="s">
        <v>225</v>
      </c>
      <c r="D21" s="309" t="s">
        <v>225</v>
      </c>
      <c r="E21" s="9"/>
    </row>
    <row r="22" spans="1:8">
      <c r="A22" s="44"/>
      <c r="H22" s="322"/>
    </row>
    <row r="23" spans="1:8">
      <c r="A23" s="44"/>
      <c r="B23" s="451" t="s">
        <v>361</v>
      </c>
      <c r="C23" s="451"/>
      <c r="D23" s="451"/>
      <c r="E23" s="451"/>
    </row>
    <row r="24" spans="1:8" ht="13.5" thickBot="1">
      <c r="A24" s="44"/>
      <c r="B24" s="301"/>
      <c r="C24" s="302" t="s">
        <v>232</v>
      </c>
      <c r="D24" s="302" t="s">
        <v>222</v>
      </c>
      <c r="E24" s="303" t="s">
        <v>535</v>
      </c>
    </row>
    <row r="25" spans="1:8">
      <c r="A25" s="44"/>
      <c r="B25" s="304" t="s">
        <v>148</v>
      </c>
      <c r="C25" s="306" t="s">
        <v>225</v>
      </c>
      <c r="D25" s="306" t="s">
        <v>225</v>
      </c>
      <c r="E25" s="28"/>
    </row>
    <row r="26" spans="1:8">
      <c r="A26" s="44"/>
      <c r="B26" s="307" t="s">
        <v>149</v>
      </c>
      <c r="C26" s="309" t="s">
        <v>225</v>
      </c>
      <c r="D26" s="309" t="s">
        <v>225</v>
      </c>
      <c r="E26" s="15"/>
    </row>
    <row r="27" spans="1:8">
      <c r="A27" s="44"/>
      <c r="B27" s="307" t="s">
        <v>104</v>
      </c>
      <c r="C27" s="309" t="s">
        <v>225</v>
      </c>
      <c r="D27" s="309" t="s">
        <v>225</v>
      </c>
      <c r="E27" s="9"/>
    </row>
    <row r="28" spans="1:8">
      <c r="A28" s="44"/>
      <c r="B28" s="307" t="s">
        <v>9</v>
      </c>
      <c r="C28" s="309" t="s">
        <v>225</v>
      </c>
      <c r="D28" s="309" t="s">
        <v>225</v>
      </c>
      <c r="E28" s="9"/>
    </row>
    <row r="29" spans="1:8">
      <c r="A29" s="44"/>
      <c r="B29" s="307" t="s">
        <v>48</v>
      </c>
      <c r="C29" s="309" t="s">
        <v>225</v>
      </c>
      <c r="D29" s="309" t="s">
        <v>225</v>
      </c>
      <c r="E29" s="9"/>
    </row>
    <row r="30" spans="1:8">
      <c r="A30" s="44"/>
      <c r="B30" s="307" t="s">
        <v>214</v>
      </c>
      <c r="C30" s="309" t="s">
        <v>225</v>
      </c>
      <c r="D30" s="309" t="s">
        <v>225</v>
      </c>
      <c r="E30" s="9"/>
    </row>
    <row r="31" spans="1:8">
      <c r="A31" s="44"/>
      <c r="B31" s="307" t="s">
        <v>47</v>
      </c>
      <c r="C31" s="309" t="s">
        <v>225</v>
      </c>
      <c r="D31" s="309" t="s">
        <v>225</v>
      </c>
      <c r="E31" s="9"/>
    </row>
    <row r="32" spans="1:8">
      <c r="A32" s="44"/>
      <c r="B32" s="307" t="s">
        <v>242</v>
      </c>
      <c r="C32" s="309" t="s">
        <v>225</v>
      </c>
      <c r="D32" s="309" t="s">
        <v>226</v>
      </c>
      <c r="E32" s="16"/>
    </row>
    <row r="33" spans="1:5">
      <c r="A33" s="44"/>
      <c r="B33" s="307" t="s">
        <v>360</v>
      </c>
      <c r="C33" s="309" t="s">
        <v>225</v>
      </c>
      <c r="D33" s="309" t="s">
        <v>226</v>
      </c>
      <c r="E33" s="16"/>
    </row>
    <row r="34" spans="1:5">
      <c r="A34" s="44"/>
      <c r="B34" s="307" t="s">
        <v>228</v>
      </c>
      <c r="C34" s="309" t="s">
        <v>225</v>
      </c>
      <c r="D34" s="309" t="s">
        <v>226</v>
      </c>
      <c r="E34" s="16"/>
    </row>
    <row r="35" spans="1:5">
      <c r="A35" s="44"/>
      <c r="B35" s="307" t="s">
        <v>229</v>
      </c>
      <c r="C35" s="309" t="s">
        <v>225</v>
      </c>
      <c r="D35" s="309" t="s">
        <v>227</v>
      </c>
      <c r="E35" s="16"/>
    </row>
    <row r="36" spans="1:5">
      <c r="A36" s="44"/>
    </row>
    <row r="37" spans="1:5">
      <c r="A37" s="44"/>
      <c r="B37" s="451" t="s">
        <v>248</v>
      </c>
      <c r="C37" s="451"/>
      <c r="D37" s="451"/>
      <c r="E37" s="451"/>
    </row>
    <row r="38" spans="1:5" ht="13.5" thickBot="1">
      <c r="A38" s="44"/>
      <c r="B38" s="310" t="s">
        <v>252</v>
      </c>
      <c r="C38" s="302" t="s">
        <v>232</v>
      </c>
      <c r="D38" s="302" t="s">
        <v>222</v>
      </c>
      <c r="E38" s="303" t="s">
        <v>535</v>
      </c>
    </row>
    <row r="39" spans="1:5">
      <c r="A39" s="44"/>
      <c r="B39" s="304" t="s">
        <v>234</v>
      </c>
      <c r="C39" s="306" t="s">
        <v>243</v>
      </c>
      <c r="D39" s="306" t="s">
        <v>233</v>
      </c>
      <c r="E39" s="16"/>
    </row>
    <row r="40" spans="1:5">
      <c r="A40" s="44"/>
      <c r="B40" s="307" t="s">
        <v>364</v>
      </c>
      <c r="C40" s="309" t="s">
        <v>225</v>
      </c>
      <c r="D40" s="309" t="s">
        <v>224</v>
      </c>
      <c r="E40" s="16"/>
    </row>
    <row r="41" spans="1:5">
      <c r="A41" s="10"/>
      <c r="B41" s="307" t="s">
        <v>221</v>
      </c>
      <c r="C41" s="309" t="s">
        <v>225</v>
      </c>
      <c r="D41" s="309" t="s">
        <v>233</v>
      </c>
      <c r="E41" s="16"/>
    </row>
    <row r="42" spans="1:5">
      <c r="A42" s="10"/>
      <c r="B42" s="307" t="s">
        <v>235</v>
      </c>
      <c r="C42" s="309" t="s">
        <v>225</v>
      </c>
      <c r="D42" s="309" t="s">
        <v>233</v>
      </c>
      <c r="E42" s="16"/>
    </row>
    <row r="43" spans="1:5">
      <c r="A43" s="44"/>
      <c r="B43" s="307" t="s">
        <v>236</v>
      </c>
      <c r="C43" s="309" t="s">
        <v>225</v>
      </c>
      <c r="D43" s="309" t="s">
        <v>233</v>
      </c>
      <c r="E43" s="16"/>
    </row>
    <row r="44" spans="1:5">
      <c r="A44" s="44"/>
      <c r="B44" s="448"/>
      <c r="C44" s="449"/>
      <c r="D44" s="449"/>
      <c r="E44" s="450"/>
    </row>
    <row r="45" spans="1:5" ht="13.5" thickBot="1">
      <c r="A45" s="10"/>
      <c r="B45" s="310" t="s">
        <v>50</v>
      </c>
      <c r="C45" s="302" t="s">
        <v>232</v>
      </c>
      <c r="D45" s="302" t="s">
        <v>222</v>
      </c>
      <c r="E45" s="303" t="s">
        <v>535</v>
      </c>
    </row>
    <row r="46" spans="1:5">
      <c r="A46" s="10"/>
      <c r="B46" s="304" t="s">
        <v>60</v>
      </c>
      <c r="C46" s="306" t="s">
        <v>225</v>
      </c>
      <c r="D46" s="306" t="s">
        <v>233</v>
      </c>
      <c r="E46" s="76"/>
    </row>
    <row r="47" spans="1:5">
      <c r="A47" s="10"/>
      <c r="B47" s="307" t="s">
        <v>293</v>
      </c>
      <c r="C47" s="309" t="s">
        <v>374</v>
      </c>
      <c r="D47" s="309" t="s">
        <v>233</v>
      </c>
      <c r="E47" s="76"/>
    </row>
    <row r="48" spans="1:5">
      <c r="A48" s="10"/>
      <c r="B48" s="307" t="s">
        <v>293</v>
      </c>
      <c r="C48" s="309" t="s">
        <v>316</v>
      </c>
      <c r="D48" s="309" t="s">
        <v>233</v>
      </c>
      <c r="E48" s="76"/>
    </row>
    <row r="49" spans="2:5">
      <c r="B49" s="307" t="s">
        <v>44</v>
      </c>
      <c r="C49" s="309" t="s">
        <v>225</v>
      </c>
      <c r="D49" s="309" t="s">
        <v>233</v>
      </c>
      <c r="E49" s="76"/>
    </row>
    <row r="50" spans="2:5">
      <c r="B50" s="448"/>
      <c r="C50" s="449"/>
      <c r="D50" s="449"/>
      <c r="E50" s="450"/>
    </row>
    <row r="51" spans="2:5" ht="13.5" thickBot="1">
      <c r="B51" s="310" t="s">
        <v>238</v>
      </c>
      <c r="C51" s="302" t="s">
        <v>232</v>
      </c>
      <c r="D51" s="302" t="s">
        <v>222</v>
      </c>
      <c r="E51" s="303" t="s">
        <v>535</v>
      </c>
    </row>
    <row r="52" spans="2:5">
      <c r="B52" s="304" t="s">
        <v>71</v>
      </c>
      <c r="C52" s="306" t="s">
        <v>225</v>
      </c>
      <c r="D52" s="306" t="s">
        <v>233</v>
      </c>
      <c r="E52" s="27"/>
    </row>
    <row r="53" spans="2:5">
      <c r="B53" s="307" t="s">
        <v>72</v>
      </c>
      <c r="C53" s="309" t="s">
        <v>225</v>
      </c>
      <c r="D53" s="309" t="s">
        <v>233</v>
      </c>
      <c r="E53" s="26"/>
    </row>
    <row r="54" spans="2:5">
      <c r="B54" s="307" t="s">
        <v>44</v>
      </c>
      <c r="C54" s="309" t="s">
        <v>225</v>
      </c>
      <c r="D54" s="309" t="s">
        <v>233</v>
      </c>
      <c r="E54" s="26"/>
    </row>
    <row r="56" spans="2:5">
      <c r="B56" s="451" t="s">
        <v>249</v>
      </c>
      <c r="C56" s="451"/>
      <c r="D56" s="451"/>
      <c r="E56" s="451"/>
    </row>
    <row r="57" spans="2:5" ht="13.5" thickBot="1">
      <c r="B57" s="311"/>
      <c r="C57" s="302" t="s">
        <v>232</v>
      </c>
      <c r="D57" s="302" t="s">
        <v>222</v>
      </c>
      <c r="E57" s="303" t="s">
        <v>535</v>
      </c>
    </row>
    <row r="58" spans="2:5">
      <c r="B58" s="304" t="s">
        <v>241</v>
      </c>
      <c r="C58" s="306" t="s">
        <v>225</v>
      </c>
      <c r="D58" s="306" t="s">
        <v>237</v>
      </c>
      <c r="E58" s="16"/>
    </row>
    <row r="59" spans="2:5">
      <c r="B59" s="307" t="s">
        <v>239</v>
      </c>
      <c r="C59" s="309" t="s">
        <v>225</v>
      </c>
      <c r="D59" s="309" t="s">
        <v>237</v>
      </c>
      <c r="E59" s="16"/>
    </row>
    <row r="60" spans="2:5">
      <c r="B60" s="307" t="s">
        <v>240</v>
      </c>
      <c r="C60" s="309" t="s">
        <v>225</v>
      </c>
      <c r="D60" s="309" t="s">
        <v>237</v>
      </c>
      <c r="E60" s="16"/>
    </row>
    <row r="62" spans="2:5">
      <c r="B62" s="451" t="s">
        <v>415</v>
      </c>
      <c r="C62" s="451"/>
      <c r="D62" s="451"/>
      <c r="E62" s="451"/>
    </row>
    <row r="63" spans="2:5" ht="13.5" thickBot="1">
      <c r="B63" s="311"/>
      <c r="C63" s="302" t="s">
        <v>232</v>
      </c>
      <c r="D63" s="302" t="s">
        <v>222</v>
      </c>
      <c r="E63" s="303" t="s">
        <v>535</v>
      </c>
    </row>
    <row r="64" spans="2:5">
      <c r="B64" s="304" t="s">
        <v>502</v>
      </c>
      <c r="C64" s="306" t="s">
        <v>225</v>
      </c>
      <c r="D64" s="306" t="s">
        <v>225</v>
      </c>
      <c r="E64" s="79"/>
    </row>
    <row r="65" spans="1:5">
      <c r="B65" s="304" t="s">
        <v>246</v>
      </c>
      <c r="C65" s="306" t="s">
        <v>225</v>
      </c>
      <c r="D65" s="306" t="s">
        <v>225</v>
      </c>
      <c r="E65" s="79"/>
    </row>
    <row r="66" spans="1:5" hidden="1">
      <c r="B66" s="448"/>
      <c r="C66" s="449"/>
      <c r="D66" s="449"/>
      <c r="E66" s="450"/>
    </row>
    <row r="67" spans="1:5" ht="13.5" hidden="1" thickBot="1">
      <c r="B67" s="310" t="s">
        <v>93</v>
      </c>
      <c r="C67" s="302" t="s">
        <v>232</v>
      </c>
      <c r="D67" s="310" t="s">
        <v>250</v>
      </c>
      <c r="E67" s="310" t="s">
        <v>424</v>
      </c>
    </row>
    <row r="68" spans="1:5" hidden="1">
      <c r="B68" s="304" t="s">
        <v>6</v>
      </c>
      <c r="C68" s="306" t="s">
        <v>225</v>
      </c>
      <c r="D68" s="79"/>
      <c r="E68" s="76"/>
    </row>
    <row r="69" spans="1:5" hidden="1">
      <c r="B69" s="307" t="s">
        <v>179</v>
      </c>
      <c r="C69" s="309" t="s">
        <v>225</v>
      </c>
      <c r="D69" s="79"/>
      <c r="E69" s="76"/>
    </row>
    <row r="70" spans="1:5" hidden="1">
      <c r="B70" s="307" t="s">
        <v>131</v>
      </c>
      <c r="C70" s="309" t="s">
        <v>225</v>
      </c>
      <c r="D70" s="79"/>
      <c r="E70" s="76"/>
    </row>
    <row r="71" spans="1:5" hidden="1">
      <c r="B71" s="307" t="s">
        <v>118</v>
      </c>
      <c r="C71" s="309" t="s">
        <v>225</v>
      </c>
      <c r="D71" s="79"/>
      <c r="E71" s="76"/>
    </row>
    <row r="72" spans="1:5" hidden="1">
      <c r="B72" s="307" t="s">
        <v>152</v>
      </c>
      <c r="C72" s="309" t="s">
        <v>225</v>
      </c>
      <c r="D72" s="79"/>
      <c r="E72" s="76"/>
    </row>
    <row r="73" spans="1:5" hidden="1">
      <c r="B73" s="307" t="s">
        <v>379</v>
      </c>
      <c r="C73" s="309" t="s">
        <v>225</v>
      </c>
      <c r="D73" s="79"/>
      <c r="E73" s="76"/>
    </row>
    <row r="74" spans="1:5" hidden="1">
      <c r="B74" s="448"/>
      <c r="C74" s="449"/>
      <c r="D74" s="449"/>
      <c r="E74" s="450"/>
    </row>
    <row r="75" spans="1:5" ht="13.5" hidden="1" thickBot="1">
      <c r="B75" s="310" t="s">
        <v>251</v>
      </c>
      <c r="C75" s="302" t="s">
        <v>232</v>
      </c>
      <c r="D75" s="302" t="s">
        <v>222</v>
      </c>
      <c r="E75" s="310" t="s">
        <v>75</v>
      </c>
    </row>
    <row r="76" spans="1:5" hidden="1">
      <c r="B76" s="304" t="s">
        <v>177</v>
      </c>
      <c r="C76" s="306" t="s">
        <v>225</v>
      </c>
      <c r="D76" s="306" t="s">
        <v>244</v>
      </c>
      <c r="E76" s="12"/>
    </row>
    <row r="78" spans="1:5">
      <c r="A78" s="7"/>
      <c r="B78" s="452" t="s">
        <v>382</v>
      </c>
      <c r="C78" s="452"/>
      <c r="D78" s="452"/>
      <c r="E78" s="453"/>
    </row>
    <row r="80" spans="1:5" ht="14.25">
      <c r="B80" s="446" t="s">
        <v>425</v>
      </c>
      <c r="C80" s="447"/>
      <c r="D80" s="447"/>
      <c r="E80" s="313">
        <f>IF(ISERROR('Síntese das emissões'!C123),"-",'Síntese das emissões'!C123)</f>
        <v>0</v>
      </c>
    </row>
    <row r="81" spans="2:5">
      <c r="B81" s="314"/>
      <c r="C81" s="314"/>
      <c r="D81" s="314"/>
      <c r="E81" s="315"/>
    </row>
    <row r="82" spans="2:5" ht="14.25">
      <c r="B82" s="446" t="s">
        <v>426</v>
      </c>
      <c r="C82" s="447"/>
      <c r="D82" s="447"/>
      <c r="E82" s="313" t="str">
        <f>IF(ISERROR('Síntese das emissões'!D123),"-",'Síntese das emissões'!D123)</f>
        <v>-</v>
      </c>
    </row>
    <row r="83" spans="2:5">
      <c r="B83" s="316"/>
      <c r="C83" s="316"/>
      <c r="D83" s="316"/>
      <c r="E83" s="317"/>
    </row>
    <row r="84" spans="2:5" ht="14.25">
      <c r="B84" s="446" t="s">
        <v>427</v>
      </c>
      <c r="C84" s="447"/>
      <c r="D84" s="447"/>
      <c r="E84" s="313" t="str">
        <f>IF(ISERROR('Síntese das emissões'!E123),"-",'Síntese das emissões'!E123)</f>
        <v>-</v>
      </c>
    </row>
  </sheetData>
  <mergeCells count="14">
    <mergeCell ref="B82:D82"/>
    <mergeCell ref="B84:D84"/>
    <mergeCell ref="B56:E56"/>
    <mergeCell ref="B62:E62"/>
    <mergeCell ref="B66:E66"/>
    <mergeCell ref="B74:E74"/>
    <mergeCell ref="B78:E78"/>
    <mergeCell ref="B80:D80"/>
    <mergeCell ref="B50:E50"/>
    <mergeCell ref="B14:E14"/>
    <mergeCell ref="B16:E16"/>
    <mergeCell ref="B23:E23"/>
    <mergeCell ref="B37:E37"/>
    <mergeCell ref="B44:E44"/>
  </mergeCells>
  <dataValidations count="17">
    <dataValidation type="decimal" allowBlank="1" showInputMessage="1" showErrorMessage="1" sqref="E52:E54 E46:E49">
      <formula1>0</formula1>
      <formula2>999999</formula2>
    </dataValidation>
    <dataValidation type="list" allowBlank="1" showInputMessage="1" showErrorMessage="1" errorTitle="Valor inválido" error="Insira apenas valores numéricos" sqref="E65">
      <formula1>lista_tipoconsumodiesel</formula1>
    </dataValidation>
    <dataValidation type="list" allowBlank="1" showInputMessage="1" showErrorMessage="1" errorTitle="Valor inválido" error="Insira apenas valores numéricos" sqref="E27">
      <formula1>lista_classetexturalsolo</formula1>
    </dataValidation>
    <dataValidation type="decimal" allowBlank="1" showInputMessage="1" showErrorMessage="1" errorTitle="Valor inválido" error="Insira apenas valores numéricos" sqref="E32:E35 E39:E43 E58:E60 E76 E68:E73">
      <formula1>0</formula1>
      <formula2>9999999999</formula2>
    </dataValidation>
    <dataValidation type="list" allowBlank="1" showInputMessage="1" showErrorMessage="1" sqref="E18">
      <formula1>lista_uf</formula1>
    </dataValidation>
    <dataValidation type="list" allowBlank="1" showInputMessage="1" showErrorMessage="1" errorTitle="Valor inválido" error="Insira um valor existente na lista suspensa" sqref="E31">
      <formula1>lista_tempoadocao</formula1>
    </dataValidation>
    <dataValidation type="list" allowBlank="1" showInputMessage="1" showErrorMessage="1" errorTitle="Valor inválido" error="Insira um valor existente na lista suspensa" sqref="E28">
      <formula1>lista_teorargila</formula1>
    </dataValidation>
    <dataValidation type="list" allowBlank="1" showInputMessage="1" showErrorMessage="1" errorTitle="Valor inválido" error="Insira um valor existente na lista suspensa" sqref="E21">
      <formula1>lista_bioma</formula1>
    </dataValidation>
    <dataValidation type="list" allowBlank="1" showInputMessage="1" showErrorMessage="1" errorTitle="Valor inválido" error="Insira um valor existente na lista suspensa" sqref="E30">
      <formula1>lista_usoatualterra</formula1>
    </dataValidation>
    <dataValidation type="list" allowBlank="1" showInputMessage="1" showErrorMessage="1" errorTitle="Valor inválido" error="Insira um valor existente na lista suspensa" sqref="E29">
      <formula1>lista_usoanteriorterra</formula1>
    </dataValidation>
    <dataValidation type="list" allowBlank="1" showInputMessage="1" showErrorMessage="1" sqref="B68:B73">
      <formula1>lista_soja_operacoesmecanizadas</formula1>
    </dataValidation>
    <dataValidation type="decimal" allowBlank="1" showInputMessage="1" showErrorMessage="1" errorTitle="Valor inválido" error="Insira apenas valores numéricos" promptTitle="Exemplo" prompt="-47,06" sqref="E20">
      <formula1>-9999999999</formula1>
      <formula2>99999999999</formula2>
    </dataValidation>
    <dataValidation type="decimal" allowBlank="1" showInputMessage="1" showErrorMessage="1" errorTitle="Valor inválido" error="Insira apenas valores numéricos" promptTitle="Exemplo" prompt="-22,9" sqref="E19">
      <formula1>-9999999999</formula1>
      <formula2>99999999999</formula2>
    </dataValidation>
    <dataValidation type="date" operator="lessThan" allowBlank="1" showInputMessage="1" showErrorMessage="1" errorTitle="Data inválida" error="A data de plantio deve ser anterior à data de colheita" promptTitle="Exemplo" prompt="01/01/2010" sqref="E25">
      <formula1>E26</formula1>
    </dataValidation>
    <dataValidation type="date" operator="greaterThan" allowBlank="1" showInputMessage="1" showErrorMessage="1" errorTitle="Data inválida" error="A data de colheita deve ser posterior à data de plantio" promptTitle="Exemplo" prompt="01/01/2010" sqref="E26">
      <formula1>E25</formula1>
    </dataValidation>
    <dataValidation type="list" allowBlank="1" showInputMessage="1" showErrorMessage="1" sqref="D68:D73">
      <formula1>lista_binaria</formula1>
    </dataValidation>
    <dataValidation type="list" allowBlank="1" showInputMessage="1" showErrorMessage="1" errorTitle="Valor inválido" error="Insira apenas valores numéricos" sqref="E64">
      <formula1>lista_tipocombustivel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Trigo">
    <tabColor theme="3"/>
  </sheetPr>
  <dimension ref="A14:E83"/>
  <sheetViews>
    <sheetView showGridLines="0" showRowColHeaders="0" workbookViewId="0"/>
  </sheetViews>
  <sheetFormatPr defaultRowHeight="12.75"/>
  <cols>
    <col min="1" max="1" width="3.7109375" style="20" customWidth="1"/>
    <col min="2" max="2" width="33.5703125" style="20" bestFit="1" customWidth="1"/>
    <col min="3" max="3" width="26.42578125" style="20" bestFit="1" customWidth="1"/>
    <col min="4" max="4" width="18.85546875" style="20" bestFit="1" customWidth="1"/>
    <col min="5" max="5" width="30.7109375" style="20" customWidth="1"/>
    <col min="6" max="16384" width="9.140625" style="20"/>
  </cols>
  <sheetData>
    <row r="14" spans="1:5">
      <c r="A14" s="7"/>
      <c r="B14" s="452" t="s">
        <v>393</v>
      </c>
      <c r="C14" s="452"/>
      <c r="D14" s="452"/>
      <c r="E14" s="453"/>
    </row>
    <row r="15" spans="1:5">
      <c r="A15" s="44"/>
      <c r="B15" s="44"/>
      <c r="C15" s="44"/>
      <c r="D15" s="44"/>
      <c r="E15" s="44"/>
    </row>
    <row r="16" spans="1:5">
      <c r="A16" s="44"/>
      <c r="B16" s="451" t="s">
        <v>247</v>
      </c>
      <c r="C16" s="451"/>
      <c r="D16" s="451"/>
      <c r="E16" s="451"/>
    </row>
    <row r="17" spans="1:5" ht="13.5" thickBot="1">
      <c r="A17" s="44"/>
      <c r="B17" s="301"/>
      <c r="C17" s="302" t="s">
        <v>232</v>
      </c>
      <c r="D17" s="302" t="s">
        <v>222</v>
      </c>
      <c r="E17" s="303" t="s">
        <v>535</v>
      </c>
    </row>
    <row r="18" spans="1:5">
      <c r="A18" s="44"/>
      <c r="B18" s="304" t="s">
        <v>46</v>
      </c>
      <c r="C18" s="305" t="s">
        <v>225</v>
      </c>
      <c r="D18" s="306" t="s">
        <v>225</v>
      </c>
      <c r="E18" s="9"/>
    </row>
    <row r="19" spans="1:5">
      <c r="A19" s="44"/>
      <c r="B19" s="307" t="s">
        <v>230</v>
      </c>
      <c r="C19" s="308" t="s">
        <v>225</v>
      </c>
      <c r="D19" s="309" t="s">
        <v>223</v>
      </c>
      <c r="E19" s="321"/>
    </row>
    <row r="20" spans="1:5">
      <c r="A20" s="44"/>
      <c r="B20" s="307" t="s">
        <v>231</v>
      </c>
      <c r="C20" s="308" t="s">
        <v>225</v>
      </c>
      <c r="D20" s="309" t="s">
        <v>223</v>
      </c>
      <c r="E20" s="16"/>
    </row>
    <row r="21" spans="1:5">
      <c r="A21" s="44"/>
      <c r="B21" s="307" t="s">
        <v>8</v>
      </c>
      <c r="C21" s="308" t="s">
        <v>225</v>
      </c>
      <c r="D21" s="309" t="s">
        <v>225</v>
      </c>
      <c r="E21" s="9"/>
    </row>
    <row r="22" spans="1:5">
      <c r="A22" s="44"/>
      <c r="E22" s="50"/>
    </row>
    <row r="23" spans="1:5">
      <c r="A23" s="44"/>
      <c r="B23" s="456" t="s">
        <v>361</v>
      </c>
      <c r="C23" s="456"/>
      <c r="D23" s="456"/>
      <c r="E23" s="456"/>
    </row>
    <row r="24" spans="1:5" ht="13.5" thickBot="1">
      <c r="A24" s="44"/>
      <c r="B24" s="301"/>
      <c r="C24" s="302" t="s">
        <v>232</v>
      </c>
      <c r="D24" s="302" t="s">
        <v>222</v>
      </c>
      <c r="E24" s="303" t="s">
        <v>535</v>
      </c>
    </row>
    <row r="25" spans="1:5">
      <c r="A25" s="44"/>
      <c r="B25" s="304" t="s">
        <v>148</v>
      </c>
      <c r="C25" s="306" t="s">
        <v>225</v>
      </c>
      <c r="D25" s="306" t="s">
        <v>225</v>
      </c>
      <c r="E25" s="28"/>
    </row>
    <row r="26" spans="1:5">
      <c r="A26" s="44"/>
      <c r="B26" s="307" t="s">
        <v>149</v>
      </c>
      <c r="C26" s="309" t="s">
        <v>225</v>
      </c>
      <c r="D26" s="309" t="s">
        <v>225</v>
      </c>
      <c r="E26" s="15"/>
    </row>
    <row r="27" spans="1:5">
      <c r="A27" s="44"/>
      <c r="B27" s="307" t="s">
        <v>104</v>
      </c>
      <c r="C27" s="309" t="s">
        <v>225</v>
      </c>
      <c r="D27" s="309" t="s">
        <v>225</v>
      </c>
      <c r="E27" s="9"/>
    </row>
    <row r="28" spans="1:5">
      <c r="A28" s="44"/>
      <c r="B28" s="307" t="s">
        <v>9</v>
      </c>
      <c r="C28" s="309" t="s">
        <v>225</v>
      </c>
      <c r="D28" s="309" t="s">
        <v>225</v>
      </c>
      <c r="E28" s="9"/>
    </row>
    <row r="29" spans="1:5">
      <c r="A29" s="44"/>
      <c r="B29" s="307" t="s">
        <v>48</v>
      </c>
      <c r="C29" s="309" t="s">
        <v>225</v>
      </c>
      <c r="D29" s="309" t="s">
        <v>225</v>
      </c>
      <c r="E29" s="9"/>
    </row>
    <row r="30" spans="1:5">
      <c r="A30" s="44"/>
      <c r="B30" s="307" t="s">
        <v>214</v>
      </c>
      <c r="C30" s="309" t="s">
        <v>225</v>
      </c>
      <c r="D30" s="309" t="s">
        <v>225</v>
      </c>
      <c r="E30" s="9"/>
    </row>
    <row r="31" spans="1:5">
      <c r="A31" s="44"/>
      <c r="B31" s="307" t="s">
        <v>47</v>
      </c>
      <c r="C31" s="309" t="s">
        <v>225</v>
      </c>
      <c r="D31" s="309" t="s">
        <v>225</v>
      </c>
      <c r="E31" s="9"/>
    </row>
    <row r="32" spans="1:5">
      <c r="A32" s="44"/>
      <c r="B32" s="307" t="s">
        <v>242</v>
      </c>
      <c r="C32" s="309" t="s">
        <v>225</v>
      </c>
      <c r="D32" s="309" t="s">
        <v>226</v>
      </c>
      <c r="E32" s="16"/>
    </row>
    <row r="33" spans="1:5">
      <c r="A33" s="44"/>
      <c r="B33" s="307" t="s">
        <v>360</v>
      </c>
      <c r="C33" s="309" t="s">
        <v>225</v>
      </c>
      <c r="D33" s="309" t="s">
        <v>226</v>
      </c>
      <c r="E33" s="16"/>
    </row>
    <row r="34" spans="1:5">
      <c r="A34" s="44"/>
      <c r="B34" s="307" t="s">
        <v>228</v>
      </c>
      <c r="C34" s="309" t="s">
        <v>225</v>
      </c>
      <c r="D34" s="309" t="s">
        <v>226</v>
      </c>
      <c r="E34" s="16"/>
    </row>
    <row r="35" spans="1:5">
      <c r="A35" s="44"/>
      <c r="B35" s="307" t="s">
        <v>229</v>
      </c>
      <c r="C35" s="309" t="s">
        <v>225</v>
      </c>
      <c r="D35" s="309" t="s">
        <v>227</v>
      </c>
      <c r="E35" s="16"/>
    </row>
    <row r="36" spans="1:5">
      <c r="A36" s="44"/>
    </row>
    <row r="37" spans="1:5">
      <c r="A37" s="44"/>
      <c r="B37" s="451" t="s">
        <v>248</v>
      </c>
      <c r="C37" s="451"/>
      <c r="D37" s="451"/>
      <c r="E37" s="451"/>
    </row>
    <row r="38" spans="1:5" ht="13.5" thickBot="1">
      <c r="A38" s="44"/>
      <c r="B38" s="310" t="s">
        <v>252</v>
      </c>
      <c r="C38" s="302" t="s">
        <v>232</v>
      </c>
      <c r="D38" s="302" t="s">
        <v>222</v>
      </c>
      <c r="E38" s="303" t="s">
        <v>535</v>
      </c>
    </row>
    <row r="39" spans="1:5">
      <c r="A39" s="44"/>
      <c r="B39" s="304" t="s">
        <v>234</v>
      </c>
      <c r="C39" s="306" t="s">
        <v>243</v>
      </c>
      <c r="D39" s="306" t="s">
        <v>233</v>
      </c>
      <c r="E39" s="16"/>
    </row>
    <row r="40" spans="1:5">
      <c r="A40" s="44"/>
      <c r="B40" s="307" t="s">
        <v>364</v>
      </c>
      <c r="C40" s="309" t="s">
        <v>225</v>
      </c>
      <c r="D40" s="309" t="s">
        <v>224</v>
      </c>
      <c r="E40" s="16"/>
    </row>
    <row r="41" spans="1:5">
      <c r="A41" s="10"/>
      <c r="B41" s="307" t="s">
        <v>221</v>
      </c>
      <c r="C41" s="309" t="s">
        <v>225</v>
      </c>
      <c r="D41" s="309" t="s">
        <v>233</v>
      </c>
      <c r="E41" s="16"/>
    </row>
    <row r="42" spans="1:5">
      <c r="A42" s="10"/>
      <c r="B42" s="307" t="s">
        <v>235</v>
      </c>
      <c r="C42" s="309" t="s">
        <v>225</v>
      </c>
      <c r="D42" s="309" t="s">
        <v>233</v>
      </c>
      <c r="E42" s="16"/>
    </row>
    <row r="43" spans="1:5">
      <c r="A43" s="44"/>
      <c r="B43" s="307" t="s">
        <v>236</v>
      </c>
      <c r="C43" s="309" t="s">
        <v>225</v>
      </c>
      <c r="D43" s="309" t="s">
        <v>233</v>
      </c>
      <c r="E43" s="16"/>
    </row>
    <row r="44" spans="1:5">
      <c r="A44" s="44"/>
      <c r="B44" s="448"/>
      <c r="C44" s="449"/>
      <c r="D44" s="449"/>
      <c r="E44" s="450"/>
    </row>
    <row r="45" spans="1:5" ht="13.5" thickBot="1">
      <c r="A45" s="10"/>
      <c r="B45" s="310" t="s">
        <v>50</v>
      </c>
      <c r="C45" s="302" t="s">
        <v>232</v>
      </c>
      <c r="D45" s="302" t="s">
        <v>222</v>
      </c>
      <c r="E45" s="303" t="s">
        <v>535</v>
      </c>
    </row>
    <row r="46" spans="1:5">
      <c r="A46" s="10"/>
      <c r="B46" s="304" t="s">
        <v>60</v>
      </c>
      <c r="C46" s="306" t="s">
        <v>225</v>
      </c>
      <c r="D46" s="306" t="s">
        <v>233</v>
      </c>
      <c r="E46" s="76"/>
    </row>
    <row r="47" spans="1:5">
      <c r="A47" s="10"/>
      <c r="B47" s="307" t="s">
        <v>293</v>
      </c>
      <c r="C47" s="309" t="s">
        <v>374</v>
      </c>
      <c r="D47" s="309" t="s">
        <v>233</v>
      </c>
      <c r="E47" s="76"/>
    </row>
    <row r="48" spans="1:5">
      <c r="A48" s="10"/>
      <c r="B48" s="307" t="s">
        <v>293</v>
      </c>
      <c r="C48" s="309" t="s">
        <v>316</v>
      </c>
      <c r="D48" s="309" t="s">
        <v>233</v>
      </c>
      <c r="E48" s="76"/>
    </row>
    <row r="49" spans="2:5">
      <c r="B49" s="307" t="s">
        <v>44</v>
      </c>
      <c r="C49" s="309" t="s">
        <v>225</v>
      </c>
      <c r="D49" s="309" t="s">
        <v>233</v>
      </c>
      <c r="E49" s="76"/>
    </row>
    <row r="50" spans="2:5">
      <c r="B50" s="448"/>
      <c r="C50" s="449"/>
      <c r="D50" s="449"/>
      <c r="E50" s="450"/>
    </row>
    <row r="51" spans="2:5" ht="13.5" thickBot="1">
      <c r="B51" s="310" t="s">
        <v>238</v>
      </c>
      <c r="C51" s="302" t="s">
        <v>232</v>
      </c>
      <c r="D51" s="302" t="s">
        <v>222</v>
      </c>
      <c r="E51" s="303" t="s">
        <v>535</v>
      </c>
    </row>
    <row r="52" spans="2:5">
      <c r="B52" s="304" t="s">
        <v>71</v>
      </c>
      <c r="C52" s="306" t="s">
        <v>225</v>
      </c>
      <c r="D52" s="306" t="s">
        <v>233</v>
      </c>
      <c r="E52" s="27"/>
    </row>
    <row r="53" spans="2:5">
      <c r="B53" s="307" t="s">
        <v>72</v>
      </c>
      <c r="C53" s="309" t="s">
        <v>225</v>
      </c>
      <c r="D53" s="309" t="s">
        <v>233</v>
      </c>
      <c r="E53" s="26"/>
    </row>
    <row r="54" spans="2:5">
      <c r="B54" s="307" t="s">
        <v>44</v>
      </c>
      <c r="C54" s="309" t="s">
        <v>225</v>
      </c>
      <c r="D54" s="309" t="s">
        <v>233</v>
      </c>
      <c r="E54" s="26"/>
    </row>
    <row r="56" spans="2:5">
      <c r="B56" s="451" t="s">
        <v>249</v>
      </c>
      <c r="C56" s="451"/>
      <c r="D56" s="451"/>
      <c r="E56" s="451"/>
    </row>
    <row r="57" spans="2:5" ht="13.5" thickBot="1">
      <c r="B57" s="311"/>
      <c r="C57" s="302" t="s">
        <v>232</v>
      </c>
      <c r="D57" s="302" t="s">
        <v>222</v>
      </c>
      <c r="E57" s="303" t="s">
        <v>535</v>
      </c>
    </row>
    <row r="58" spans="2:5">
      <c r="B58" s="304" t="s">
        <v>241</v>
      </c>
      <c r="C58" s="306" t="s">
        <v>225</v>
      </c>
      <c r="D58" s="306" t="s">
        <v>237</v>
      </c>
      <c r="E58" s="16"/>
    </row>
    <row r="59" spans="2:5">
      <c r="B59" s="307" t="s">
        <v>239</v>
      </c>
      <c r="C59" s="309" t="s">
        <v>225</v>
      </c>
      <c r="D59" s="309" t="s">
        <v>237</v>
      </c>
      <c r="E59" s="16"/>
    </row>
    <row r="60" spans="2:5">
      <c r="B60" s="307" t="s">
        <v>240</v>
      </c>
      <c r="C60" s="309" t="s">
        <v>225</v>
      </c>
      <c r="D60" s="309" t="s">
        <v>237</v>
      </c>
      <c r="E60" s="16"/>
    </row>
    <row r="62" spans="2:5">
      <c r="B62" s="451" t="s">
        <v>415</v>
      </c>
      <c r="C62" s="451"/>
      <c r="D62" s="451"/>
      <c r="E62" s="451"/>
    </row>
    <row r="63" spans="2:5" ht="13.5" thickBot="1">
      <c r="B63" s="311"/>
      <c r="C63" s="302" t="s">
        <v>232</v>
      </c>
      <c r="D63" s="302" t="s">
        <v>222</v>
      </c>
      <c r="E63" s="303" t="s">
        <v>535</v>
      </c>
    </row>
    <row r="64" spans="2:5">
      <c r="B64" s="304" t="s">
        <v>502</v>
      </c>
      <c r="C64" s="306" t="s">
        <v>225</v>
      </c>
      <c r="D64" s="306" t="s">
        <v>225</v>
      </c>
      <c r="E64" s="79"/>
    </row>
    <row r="65" spans="1:5">
      <c r="B65" s="304" t="s">
        <v>246</v>
      </c>
      <c r="C65" s="306" t="s">
        <v>225</v>
      </c>
      <c r="D65" s="306" t="s">
        <v>225</v>
      </c>
      <c r="E65" s="79"/>
    </row>
    <row r="66" spans="1:5" hidden="1">
      <c r="B66" s="448"/>
      <c r="C66" s="449"/>
      <c r="D66" s="449"/>
      <c r="E66" s="450"/>
    </row>
    <row r="67" spans="1:5" ht="13.5" hidden="1" thickBot="1">
      <c r="B67" s="310" t="s">
        <v>93</v>
      </c>
      <c r="C67" s="302" t="s">
        <v>232</v>
      </c>
      <c r="D67" s="310" t="s">
        <v>250</v>
      </c>
      <c r="E67" s="310" t="s">
        <v>424</v>
      </c>
    </row>
    <row r="68" spans="1:5" hidden="1">
      <c r="B68" s="304" t="s">
        <v>114</v>
      </c>
      <c r="C68" s="306" t="s">
        <v>225</v>
      </c>
      <c r="D68" s="79"/>
      <c r="E68" s="76"/>
    </row>
    <row r="69" spans="1:5" hidden="1">
      <c r="B69" s="304" t="s">
        <v>180</v>
      </c>
      <c r="C69" s="306" t="s">
        <v>225</v>
      </c>
      <c r="D69" s="79"/>
      <c r="E69" s="76"/>
    </row>
    <row r="70" spans="1:5" hidden="1">
      <c r="B70" s="304" t="s">
        <v>97</v>
      </c>
      <c r="C70" s="306" t="s">
        <v>225</v>
      </c>
      <c r="D70" s="79"/>
      <c r="E70" s="76"/>
    </row>
    <row r="71" spans="1:5" hidden="1">
      <c r="B71" s="304" t="s">
        <v>98</v>
      </c>
      <c r="C71" s="306" t="s">
        <v>225</v>
      </c>
      <c r="D71" s="79"/>
      <c r="E71" s="76"/>
    </row>
    <row r="72" spans="1:5" hidden="1">
      <c r="B72" s="304" t="s">
        <v>379</v>
      </c>
      <c r="C72" s="306" t="s">
        <v>225</v>
      </c>
      <c r="D72" s="79"/>
      <c r="E72" s="76"/>
    </row>
    <row r="73" spans="1:5" hidden="1">
      <c r="B73" s="448"/>
      <c r="C73" s="449"/>
      <c r="D73" s="449"/>
      <c r="E73" s="450"/>
    </row>
    <row r="74" spans="1:5" ht="13.5" hidden="1" thickBot="1">
      <c r="B74" s="310" t="s">
        <v>251</v>
      </c>
      <c r="C74" s="302" t="s">
        <v>232</v>
      </c>
      <c r="D74" s="302" t="s">
        <v>222</v>
      </c>
      <c r="E74" s="310" t="s">
        <v>75</v>
      </c>
    </row>
    <row r="75" spans="1:5" hidden="1">
      <c r="B75" s="304" t="s">
        <v>177</v>
      </c>
      <c r="C75" s="306" t="s">
        <v>225</v>
      </c>
      <c r="D75" s="306" t="s">
        <v>244</v>
      </c>
      <c r="E75" s="12"/>
    </row>
    <row r="77" spans="1:5">
      <c r="A77" s="7"/>
      <c r="B77" s="452" t="s">
        <v>382</v>
      </c>
      <c r="C77" s="452"/>
      <c r="D77" s="452"/>
      <c r="E77" s="453"/>
    </row>
    <row r="79" spans="1:5" ht="14.25">
      <c r="B79" s="446" t="s">
        <v>425</v>
      </c>
      <c r="C79" s="447"/>
      <c r="D79" s="447"/>
      <c r="E79" s="313">
        <f>IF(ISERROR('Síntese das emissões'!C158),"-",'Síntese das emissões'!C158)</f>
        <v>0</v>
      </c>
    </row>
    <row r="80" spans="1:5">
      <c r="B80" s="314"/>
      <c r="C80" s="314"/>
      <c r="D80" s="314"/>
      <c r="E80" s="315"/>
    </row>
    <row r="81" spans="2:5" ht="14.25">
      <c r="B81" s="446" t="s">
        <v>426</v>
      </c>
      <c r="C81" s="447"/>
      <c r="D81" s="447"/>
      <c r="E81" s="313" t="str">
        <f>IF(ISERROR('Síntese das emissões'!D158),"-",'Síntese das emissões'!D158)</f>
        <v>-</v>
      </c>
    </row>
    <row r="82" spans="2:5">
      <c r="B82" s="316"/>
      <c r="C82" s="316"/>
      <c r="D82" s="316"/>
      <c r="E82" s="317"/>
    </row>
    <row r="83" spans="2:5" ht="14.25">
      <c r="B83" s="446" t="s">
        <v>427</v>
      </c>
      <c r="C83" s="447"/>
      <c r="D83" s="447"/>
      <c r="E83" s="313" t="str">
        <f>IF(ISERROR('Síntese das emissões'!E158),"-",'Síntese das emissões'!E158)</f>
        <v>-</v>
      </c>
    </row>
  </sheetData>
  <mergeCells count="14">
    <mergeCell ref="B81:D81"/>
    <mergeCell ref="B83:D83"/>
    <mergeCell ref="B56:E56"/>
    <mergeCell ref="B62:E62"/>
    <mergeCell ref="B66:E66"/>
    <mergeCell ref="B73:E73"/>
    <mergeCell ref="B77:E77"/>
    <mergeCell ref="B79:D79"/>
    <mergeCell ref="B50:E50"/>
    <mergeCell ref="B14:E14"/>
    <mergeCell ref="B16:E16"/>
    <mergeCell ref="B23:E23"/>
    <mergeCell ref="B37:E37"/>
    <mergeCell ref="B44:E44"/>
  </mergeCells>
  <dataValidations count="17">
    <dataValidation type="decimal" allowBlank="1" showInputMessage="1" showErrorMessage="1" sqref="E52:E54 E46:E49">
      <formula1>0</formula1>
      <formula2>999999</formula2>
    </dataValidation>
    <dataValidation type="list" allowBlank="1" showInputMessage="1" showErrorMessage="1" errorTitle="Valor inválido" error="Insira apenas valores numéricos" sqref="E65">
      <formula1>lista_tipoconsumodiesel</formula1>
    </dataValidation>
    <dataValidation type="list" allowBlank="1" showInputMessage="1" showErrorMessage="1" errorTitle="Valor inválido" error="Insira apenas valores numéricos" sqref="E27">
      <formula1>lista_classetexturalsolo</formula1>
    </dataValidation>
    <dataValidation type="decimal" allowBlank="1" showInputMessage="1" showErrorMessage="1" errorTitle="Valor inválido" error="Insira apenas valores numéricos" sqref="E32:E35 E58:E60 E39:E43 E75 E68:E72">
      <formula1>0</formula1>
      <formula2>9999999999</formula2>
    </dataValidation>
    <dataValidation type="list" allowBlank="1" showInputMessage="1" showErrorMessage="1" errorTitle="Valor inválido" error="Insira um valor existente na lista suspensa" sqref="E18">
      <formula1>lista_uf</formula1>
    </dataValidation>
    <dataValidation type="list" allowBlank="1" showInputMessage="1" showErrorMessage="1" errorTitle="Valor inválido" error="Insira um valor existente na lista suspensa" sqref="E31">
      <formula1>lista_tempoadocao</formula1>
    </dataValidation>
    <dataValidation type="list" allowBlank="1" showInputMessage="1" showErrorMessage="1" errorTitle="Valor inválido" error="Insira um valor existente na lista suspensa" sqref="E28">
      <formula1>lista_teorargila</formula1>
    </dataValidation>
    <dataValidation type="list" allowBlank="1" showInputMessage="1" showErrorMessage="1" errorTitle="Valor inválido" error="Insira um valor existente na lista suspensa" sqref="E21">
      <formula1>lista_bioma</formula1>
    </dataValidation>
    <dataValidation type="list" allowBlank="1" showInputMessage="1" showErrorMessage="1" sqref="B68:B72">
      <formula1>lista_soja_operacoesmecanizadas</formula1>
    </dataValidation>
    <dataValidation type="decimal" allowBlank="1" showInputMessage="1" showErrorMessage="1" errorTitle="Valor inválido" error="Insira apenas valores numéricos" promptTitle="Exemplo" prompt="-22,9" sqref="E19">
      <formula1>-9999999999</formula1>
      <formula2>99999999999</formula2>
    </dataValidation>
    <dataValidation type="decimal" allowBlank="1" showInputMessage="1" showErrorMessage="1" errorTitle="Valor inválido" error="Insira apenas valores numéricos" promptTitle="Exemplo" prompt="-47,06" sqref="E20">
      <formula1>-9999999999</formula1>
      <formula2>99999999999</formula2>
    </dataValidation>
    <dataValidation type="date" operator="greaterThan" allowBlank="1" showInputMessage="1" showErrorMessage="1" errorTitle="Data inválida" error="A data de colheita deve ser posterior à data de plantio" promptTitle="Exemplo" prompt="01/01/2010" sqref="E26">
      <formula1>E25</formula1>
    </dataValidation>
    <dataValidation type="date" operator="lessThan" allowBlank="1" showInputMessage="1" showErrorMessage="1" errorTitle="Data inválida" error="A data de plantio deve ser anterior à data de colheita" promptTitle="Exemplo" prompt="01/01/2010" sqref="E25">
      <formula1>E26</formula1>
    </dataValidation>
    <dataValidation type="list" allowBlank="1" showInputMessage="1" showErrorMessage="1" sqref="D68:D72">
      <formula1>lista_binaria</formula1>
    </dataValidation>
    <dataValidation type="list" allowBlank="1" showInputMessage="1" showErrorMessage="1" errorTitle="Valor inválido" error="Insira um valor existente na lista suspensa" sqref="E30">
      <formula1>lista_usoatualterra</formula1>
    </dataValidation>
    <dataValidation type="list" allowBlank="1" showInputMessage="1" showErrorMessage="1" errorTitle="Valor inválido" error="Insira um valor existente na lista suspensa" sqref="E29">
      <formula1>lista_usoanteriorterra</formula1>
    </dataValidation>
    <dataValidation type="list" allowBlank="1" showInputMessage="1" showErrorMessage="1" errorTitle="Valor inválido" error="Insira apenas valores numéricos" sqref="E64">
      <formula1>lista_tipocombustivel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Arroz">
    <tabColor theme="3"/>
  </sheetPr>
  <dimension ref="A14:E87"/>
  <sheetViews>
    <sheetView showGridLines="0" showRowColHeaders="0" workbookViewId="0"/>
  </sheetViews>
  <sheetFormatPr defaultRowHeight="12.75"/>
  <cols>
    <col min="1" max="1" width="3.7109375" style="20" customWidth="1"/>
    <col min="2" max="2" width="33.5703125" style="20" bestFit="1" customWidth="1"/>
    <col min="3" max="3" width="27.140625" style="20" bestFit="1" customWidth="1"/>
    <col min="4" max="4" width="18.85546875" style="20" bestFit="1" customWidth="1"/>
    <col min="5" max="5" width="31.42578125" style="20" bestFit="1" customWidth="1"/>
    <col min="6" max="16384" width="9.140625" style="20"/>
  </cols>
  <sheetData>
    <row r="14" spans="1:5">
      <c r="A14" s="7"/>
      <c r="B14" s="452" t="s">
        <v>406</v>
      </c>
      <c r="C14" s="452"/>
      <c r="D14" s="452"/>
      <c r="E14" s="453"/>
    </row>
    <row r="15" spans="1:5">
      <c r="A15" s="44"/>
      <c r="B15" s="44"/>
      <c r="C15" s="44"/>
      <c r="D15" s="44"/>
      <c r="E15" s="44"/>
    </row>
    <row r="16" spans="1:5">
      <c r="A16" s="44"/>
      <c r="B16" s="451" t="s">
        <v>247</v>
      </c>
      <c r="C16" s="451"/>
      <c r="D16" s="451"/>
      <c r="E16" s="451"/>
    </row>
    <row r="17" spans="1:5" ht="13.5" thickBot="1">
      <c r="A17" s="44"/>
      <c r="B17" s="301"/>
      <c r="C17" s="302" t="s">
        <v>232</v>
      </c>
      <c r="D17" s="302" t="s">
        <v>222</v>
      </c>
      <c r="E17" s="303" t="s">
        <v>535</v>
      </c>
    </row>
    <row r="18" spans="1:5">
      <c r="A18" s="44"/>
      <c r="B18" s="304" t="s">
        <v>46</v>
      </c>
      <c r="C18" s="305" t="s">
        <v>225</v>
      </c>
      <c r="D18" s="306" t="s">
        <v>225</v>
      </c>
      <c r="E18" s="9"/>
    </row>
    <row r="19" spans="1:5">
      <c r="A19" s="44"/>
      <c r="B19" s="307" t="s">
        <v>230</v>
      </c>
      <c r="C19" s="308" t="s">
        <v>225</v>
      </c>
      <c r="D19" s="309" t="s">
        <v>223</v>
      </c>
      <c r="E19" s="321"/>
    </row>
    <row r="20" spans="1:5">
      <c r="A20" s="44"/>
      <c r="B20" s="307" t="s">
        <v>231</v>
      </c>
      <c r="C20" s="308" t="s">
        <v>225</v>
      </c>
      <c r="D20" s="309" t="s">
        <v>223</v>
      </c>
      <c r="E20" s="16"/>
    </row>
    <row r="21" spans="1:5">
      <c r="A21" s="44"/>
      <c r="B21" s="307" t="s">
        <v>8</v>
      </c>
      <c r="C21" s="308" t="s">
        <v>225</v>
      </c>
      <c r="D21" s="309" t="s">
        <v>225</v>
      </c>
      <c r="E21" s="9"/>
    </row>
    <row r="22" spans="1:5">
      <c r="A22" s="44"/>
    </row>
    <row r="23" spans="1:5">
      <c r="A23" s="44"/>
      <c r="B23" s="451" t="s">
        <v>361</v>
      </c>
      <c r="C23" s="451"/>
      <c r="D23" s="451"/>
      <c r="E23" s="451"/>
    </row>
    <row r="24" spans="1:5" ht="13.5" thickBot="1">
      <c r="A24" s="44"/>
      <c r="B24" s="301"/>
      <c r="C24" s="302" t="s">
        <v>232</v>
      </c>
      <c r="D24" s="302" t="s">
        <v>222</v>
      </c>
      <c r="E24" s="303" t="s">
        <v>535</v>
      </c>
    </row>
    <row r="25" spans="1:5">
      <c r="A25" s="44"/>
      <c r="B25" s="304" t="s">
        <v>148</v>
      </c>
      <c r="C25" s="306" t="s">
        <v>225</v>
      </c>
      <c r="D25" s="306" t="s">
        <v>225</v>
      </c>
      <c r="E25" s="28"/>
    </row>
    <row r="26" spans="1:5">
      <c r="A26" s="44"/>
      <c r="B26" s="307" t="s">
        <v>149</v>
      </c>
      <c r="C26" s="309" t="s">
        <v>225</v>
      </c>
      <c r="D26" s="309" t="s">
        <v>225</v>
      </c>
      <c r="E26" s="15"/>
    </row>
    <row r="27" spans="1:5">
      <c r="A27" s="44"/>
      <c r="B27" s="307" t="s">
        <v>104</v>
      </c>
      <c r="C27" s="309" t="s">
        <v>225</v>
      </c>
      <c r="D27" s="309" t="s">
        <v>225</v>
      </c>
      <c r="E27" s="9"/>
    </row>
    <row r="28" spans="1:5">
      <c r="A28" s="44"/>
      <c r="B28" s="307" t="s">
        <v>9</v>
      </c>
      <c r="C28" s="309" t="s">
        <v>225</v>
      </c>
      <c r="D28" s="309" t="s">
        <v>225</v>
      </c>
      <c r="E28" s="9"/>
    </row>
    <row r="29" spans="1:5">
      <c r="A29" s="44"/>
      <c r="B29" s="307" t="s">
        <v>48</v>
      </c>
      <c r="C29" s="309" t="s">
        <v>225</v>
      </c>
      <c r="D29" s="309" t="s">
        <v>225</v>
      </c>
      <c r="E29" s="9"/>
    </row>
    <row r="30" spans="1:5">
      <c r="A30" s="44"/>
      <c r="B30" s="307" t="s">
        <v>214</v>
      </c>
      <c r="C30" s="309" t="s">
        <v>225</v>
      </c>
      <c r="D30" s="309" t="s">
        <v>225</v>
      </c>
      <c r="E30" s="9"/>
    </row>
    <row r="31" spans="1:5">
      <c r="A31" s="44"/>
      <c r="B31" s="307" t="s">
        <v>47</v>
      </c>
      <c r="C31" s="309" t="s">
        <v>225</v>
      </c>
      <c r="D31" s="309" t="s">
        <v>225</v>
      </c>
      <c r="E31" s="9"/>
    </row>
    <row r="32" spans="1:5">
      <c r="A32" s="44"/>
      <c r="B32" s="307" t="s">
        <v>179</v>
      </c>
      <c r="C32" s="309" t="s">
        <v>225</v>
      </c>
      <c r="D32" s="309" t="s">
        <v>225</v>
      </c>
      <c r="E32" s="37"/>
    </row>
    <row r="33" spans="1:5">
      <c r="A33" s="44"/>
      <c r="B33" s="307" t="s">
        <v>394</v>
      </c>
      <c r="C33" s="309" t="s">
        <v>395</v>
      </c>
      <c r="D33" s="309" t="s">
        <v>225</v>
      </c>
      <c r="E33" s="9"/>
    </row>
    <row r="34" spans="1:5">
      <c r="A34" s="44"/>
      <c r="B34" s="307" t="s">
        <v>242</v>
      </c>
      <c r="C34" s="309" t="s">
        <v>225</v>
      </c>
      <c r="D34" s="309" t="s">
        <v>226</v>
      </c>
      <c r="E34" s="16"/>
    </row>
    <row r="35" spans="1:5">
      <c r="A35" s="44"/>
      <c r="B35" s="307" t="s">
        <v>360</v>
      </c>
      <c r="C35" s="309" t="s">
        <v>225</v>
      </c>
      <c r="D35" s="309" t="s">
        <v>226</v>
      </c>
      <c r="E35" s="16"/>
    </row>
    <row r="36" spans="1:5">
      <c r="A36" s="44"/>
      <c r="B36" s="307" t="s">
        <v>228</v>
      </c>
      <c r="C36" s="309" t="s">
        <v>225</v>
      </c>
      <c r="D36" s="309" t="s">
        <v>226</v>
      </c>
      <c r="E36" s="16"/>
    </row>
    <row r="37" spans="1:5">
      <c r="A37" s="44"/>
      <c r="B37" s="307" t="s">
        <v>229</v>
      </c>
      <c r="C37" s="309" t="s">
        <v>225</v>
      </c>
      <c r="D37" s="309" t="s">
        <v>227</v>
      </c>
      <c r="E37" s="16"/>
    </row>
    <row r="38" spans="1:5">
      <c r="A38" s="44"/>
    </row>
    <row r="39" spans="1:5">
      <c r="A39" s="44"/>
      <c r="B39" s="451" t="s">
        <v>248</v>
      </c>
      <c r="C39" s="451"/>
      <c r="D39" s="451"/>
      <c r="E39" s="451"/>
    </row>
    <row r="40" spans="1:5" ht="13.5" thickBot="1">
      <c r="A40" s="44"/>
      <c r="B40" s="310" t="s">
        <v>252</v>
      </c>
      <c r="C40" s="302" t="s">
        <v>232</v>
      </c>
      <c r="D40" s="302" t="s">
        <v>222</v>
      </c>
      <c r="E40" s="303" t="s">
        <v>535</v>
      </c>
    </row>
    <row r="41" spans="1:5">
      <c r="A41" s="44"/>
      <c r="B41" s="304" t="s">
        <v>234</v>
      </c>
      <c r="C41" s="306" t="s">
        <v>243</v>
      </c>
      <c r="D41" s="306" t="s">
        <v>233</v>
      </c>
      <c r="E41" s="16"/>
    </row>
    <row r="42" spans="1:5">
      <c r="A42" s="44"/>
      <c r="B42" s="307" t="s">
        <v>364</v>
      </c>
      <c r="C42" s="309" t="s">
        <v>225</v>
      </c>
      <c r="D42" s="309" t="s">
        <v>224</v>
      </c>
      <c r="E42" s="16"/>
    </row>
    <row r="43" spans="1:5">
      <c r="A43" s="10"/>
      <c r="B43" s="307" t="s">
        <v>221</v>
      </c>
      <c r="C43" s="309" t="s">
        <v>225</v>
      </c>
      <c r="D43" s="309" t="s">
        <v>233</v>
      </c>
      <c r="E43" s="16"/>
    </row>
    <row r="44" spans="1:5">
      <c r="A44" s="10"/>
      <c r="B44" s="307" t="s">
        <v>235</v>
      </c>
      <c r="C44" s="309" t="s">
        <v>225</v>
      </c>
      <c r="D44" s="309" t="s">
        <v>233</v>
      </c>
      <c r="E44" s="16"/>
    </row>
    <row r="45" spans="1:5">
      <c r="A45" s="44"/>
      <c r="B45" s="307" t="s">
        <v>236</v>
      </c>
      <c r="C45" s="309" t="s">
        <v>225</v>
      </c>
      <c r="D45" s="309" t="s">
        <v>233</v>
      </c>
      <c r="E45" s="16"/>
    </row>
    <row r="46" spans="1:5">
      <c r="A46" s="44"/>
      <c r="B46" s="457"/>
      <c r="C46" s="458"/>
      <c r="D46" s="458"/>
      <c r="E46" s="459"/>
    </row>
    <row r="47" spans="1:5" ht="13.5" thickBot="1">
      <c r="A47" s="10"/>
      <c r="B47" s="310" t="s">
        <v>50</v>
      </c>
      <c r="C47" s="302" t="s">
        <v>232</v>
      </c>
      <c r="D47" s="302" t="s">
        <v>222</v>
      </c>
      <c r="E47" s="303" t="s">
        <v>535</v>
      </c>
    </row>
    <row r="48" spans="1:5">
      <c r="A48" s="10"/>
      <c r="B48" s="304" t="s">
        <v>396</v>
      </c>
      <c r="C48" s="306" t="s">
        <v>225</v>
      </c>
      <c r="D48" s="306" t="s">
        <v>227</v>
      </c>
      <c r="E48" s="9"/>
    </row>
    <row r="49" spans="1:5">
      <c r="A49" s="10"/>
      <c r="B49" s="307" t="s">
        <v>212</v>
      </c>
      <c r="C49" s="309" t="s">
        <v>225</v>
      </c>
      <c r="D49" s="309" t="s">
        <v>225</v>
      </c>
      <c r="E49" s="9"/>
    </row>
    <row r="50" spans="1:5">
      <c r="B50" s="448"/>
      <c r="C50" s="449"/>
      <c r="D50" s="449"/>
      <c r="E50" s="450"/>
    </row>
    <row r="51" spans="1:5" ht="13.5" thickBot="1">
      <c r="B51" s="310" t="s">
        <v>238</v>
      </c>
      <c r="C51" s="302" t="s">
        <v>232</v>
      </c>
      <c r="D51" s="302" t="s">
        <v>222</v>
      </c>
      <c r="E51" s="303" t="s">
        <v>535</v>
      </c>
    </row>
    <row r="52" spans="1:5">
      <c r="B52" s="304" t="s">
        <v>71</v>
      </c>
      <c r="C52" s="306" t="s">
        <v>225</v>
      </c>
      <c r="D52" s="306" t="s">
        <v>233</v>
      </c>
      <c r="E52" s="27"/>
    </row>
    <row r="53" spans="1:5">
      <c r="B53" s="307" t="s">
        <v>72</v>
      </c>
      <c r="C53" s="309" t="s">
        <v>225</v>
      </c>
      <c r="D53" s="309" t="s">
        <v>233</v>
      </c>
      <c r="E53" s="26"/>
    </row>
    <row r="54" spans="1:5">
      <c r="B54" s="307" t="s">
        <v>44</v>
      </c>
      <c r="C54" s="309" t="s">
        <v>225</v>
      </c>
      <c r="D54" s="309" t="s">
        <v>233</v>
      </c>
      <c r="E54" s="26"/>
    </row>
    <row r="56" spans="1:5">
      <c r="B56" s="451" t="s">
        <v>249</v>
      </c>
      <c r="C56" s="451"/>
      <c r="D56" s="451"/>
      <c r="E56" s="451"/>
    </row>
    <row r="57" spans="1:5" ht="13.5" thickBot="1">
      <c r="B57" s="311"/>
      <c r="C57" s="302" t="s">
        <v>232</v>
      </c>
      <c r="D57" s="302" t="s">
        <v>222</v>
      </c>
      <c r="E57" s="303" t="s">
        <v>535</v>
      </c>
    </row>
    <row r="58" spans="1:5">
      <c r="B58" s="304" t="s">
        <v>241</v>
      </c>
      <c r="C58" s="306" t="s">
        <v>225</v>
      </c>
      <c r="D58" s="306" t="s">
        <v>237</v>
      </c>
      <c r="E58" s="16"/>
    </row>
    <row r="59" spans="1:5">
      <c r="B59" s="307" t="s">
        <v>239</v>
      </c>
      <c r="C59" s="309" t="s">
        <v>225</v>
      </c>
      <c r="D59" s="309" t="s">
        <v>237</v>
      </c>
      <c r="E59" s="16"/>
    </row>
    <row r="60" spans="1:5">
      <c r="B60" s="307" t="s">
        <v>240</v>
      </c>
      <c r="C60" s="309" t="s">
        <v>225</v>
      </c>
      <c r="D60" s="309" t="s">
        <v>237</v>
      </c>
      <c r="E60" s="16"/>
    </row>
    <row r="62" spans="1:5">
      <c r="B62" s="451" t="s">
        <v>415</v>
      </c>
      <c r="C62" s="451"/>
      <c r="D62" s="451"/>
      <c r="E62" s="451"/>
    </row>
    <row r="63" spans="1:5" ht="13.5" thickBot="1">
      <c r="B63" s="311"/>
      <c r="C63" s="302" t="s">
        <v>232</v>
      </c>
      <c r="D63" s="302" t="s">
        <v>222</v>
      </c>
      <c r="E63" s="303" t="s">
        <v>535</v>
      </c>
    </row>
    <row r="64" spans="1:5">
      <c r="B64" s="304" t="s">
        <v>502</v>
      </c>
      <c r="C64" s="306" t="s">
        <v>225</v>
      </c>
      <c r="D64" s="306" t="s">
        <v>225</v>
      </c>
      <c r="E64" s="79"/>
    </row>
    <row r="65" spans="2:5">
      <c r="B65" s="304" t="s">
        <v>246</v>
      </c>
      <c r="C65" s="306" t="s">
        <v>225</v>
      </c>
      <c r="D65" s="306" t="s">
        <v>225</v>
      </c>
      <c r="E65" s="79"/>
    </row>
    <row r="66" spans="2:5" hidden="1">
      <c r="B66" s="448"/>
      <c r="C66" s="449"/>
      <c r="D66" s="449"/>
      <c r="E66" s="450"/>
    </row>
    <row r="67" spans="2:5" ht="13.5" hidden="1" thickBot="1">
      <c r="B67" s="310" t="s">
        <v>93</v>
      </c>
      <c r="C67" s="302" t="s">
        <v>232</v>
      </c>
      <c r="D67" s="310" t="s">
        <v>250</v>
      </c>
      <c r="E67" s="310" t="s">
        <v>424</v>
      </c>
    </row>
    <row r="68" spans="2:5" hidden="1">
      <c r="B68" s="304" t="s">
        <v>6</v>
      </c>
      <c r="C68" s="306" t="s">
        <v>225</v>
      </c>
      <c r="D68" s="79"/>
      <c r="E68" s="76"/>
    </row>
    <row r="69" spans="2:5" hidden="1">
      <c r="B69" s="304" t="s">
        <v>111</v>
      </c>
      <c r="C69" s="306" t="s">
        <v>225</v>
      </c>
      <c r="D69" s="79"/>
      <c r="E69" s="76"/>
    </row>
    <row r="70" spans="2:5" hidden="1">
      <c r="B70" s="304" t="s">
        <v>112</v>
      </c>
      <c r="C70" s="306" t="s">
        <v>225</v>
      </c>
      <c r="D70" s="79"/>
      <c r="E70" s="76"/>
    </row>
    <row r="71" spans="2:5" hidden="1">
      <c r="B71" s="304" t="s">
        <v>113</v>
      </c>
      <c r="C71" s="306" t="s">
        <v>225</v>
      </c>
      <c r="D71" s="79"/>
      <c r="E71" s="76"/>
    </row>
    <row r="72" spans="2:5" hidden="1">
      <c r="B72" s="304" t="s">
        <v>114</v>
      </c>
      <c r="C72" s="306" t="s">
        <v>225</v>
      </c>
      <c r="D72" s="79"/>
      <c r="E72" s="76"/>
    </row>
    <row r="73" spans="2:5" hidden="1">
      <c r="B73" s="304" t="s">
        <v>115</v>
      </c>
      <c r="C73" s="306" t="s">
        <v>225</v>
      </c>
      <c r="D73" s="79"/>
      <c r="E73" s="76"/>
    </row>
    <row r="74" spans="2:5" hidden="1">
      <c r="B74" s="304" t="s">
        <v>118</v>
      </c>
      <c r="C74" s="306" t="s">
        <v>225</v>
      </c>
      <c r="D74" s="79"/>
      <c r="E74" s="76"/>
    </row>
    <row r="75" spans="2:5" hidden="1">
      <c r="B75" s="304" t="s">
        <v>116</v>
      </c>
      <c r="C75" s="306" t="s">
        <v>225</v>
      </c>
      <c r="D75" s="79"/>
      <c r="E75" s="76"/>
    </row>
    <row r="76" spans="2:5" hidden="1">
      <c r="B76" s="304" t="s">
        <v>379</v>
      </c>
      <c r="C76" s="306" t="s">
        <v>225</v>
      </c>
      <c r="D76" s="79"/>
      <c r="E76" s="76"/>
    </row>
    <row r="77" spans="2:5" hidden="1">
      <c r="B77" s="448"/>
      <c r="C77" s="449"/>
      <c r="D77" s="449"/>
      <c r="E77" s="450"/>
    </row>
    <row r="78" spans="2:5" ht="13.5" hidden="1" thickBot="1">
      <c r="B78" s="310" t="s">
        <v>251</v>
      </c>
      <c r="C78" s="302" t="s">
        <v>232</v>
      </c>
      <c r="D78" s="302" t="s">
        <v>222</v>
      </c>
      <c r="E78" s="310" t="s">
        <v>75</v>
      </c>
    </row>
    <row r="79" spans="2:5" hidden="1">
      <c r="B79" s="304" t="s">
        <v>177</v>
      </c>
      <c r="C79" s="306" t="s">
        <v>225</v>
      </c>
      <c r="D79" s="306" t="s">
        <v>244</v>
      </c>
      <c r="E79" s="12"/>
    </row>
    <row r="81" spans="1:5">
      <c r="A81" s="7"/>
      <c r="B81" s="452" t="s">
        <v>382</v>
      </c>
      <c r="C81" s="452"/>
      <c r="D81" s="452"/>
      <c r="E81" s="453"/>
    </row>
    <row r="83" spans="1:5" ht="14.25">
      <c r="B83" s="446" t="s">
        <v>425</v>
      </c>
      <c r="C83" s="447"/>
      <c r="D83" s="447"/>
      <c r="E83" s="313">
        <f>IF(ISERROR('Síntese das emissões'!C193),"-",'Síntese das emissões'!C193)</f>
        <v>0</v>
      </c>
    </row>
    <row r="84" spans="1:5">
      <c r="B84" s="314"/>
      <c r="C84" s="314"/>
      <c r="D84" s="314"/>
      <c r="E84" s="315"/>
    </row>
    <row r="85" spans="1:5" ht="14.25">
      <c r="B85" s="446" t="s">
        <v>426</v>
      </c>
      <c r="C85" s="447"/>
      <c r="D85" s="447"/>
      <c r="E85" s="313" t="str">
        <f>IF(ISERROR('Síntese das emissões'!D193),"-",'Síntese das emissões'!D193)</f>
        <v>-</v>
      </c>
    </row>
    <row r="86" spans="1:5">
      <c r="B86" s="316"/>
      <c r="C86" s="316"/>
      <c r="D86" s="316"/>
      <c r="E86" s="317"/>
    </row>
    <row r="87" spans="1:5" ht="14.25">
      <c r="B87" s="446" t="s">
        <v>427</v>
      </c>
      <c r="C87" s="447"/>
      <c r="D87" s="447"/>
      <c r="E87" s="313" t="str">
        <f>IF(ISERROR('Síntese das emissões'!E193),"-",'Síntese das emissões'!E193)</f>
        <v>-</v>
      </c>
    </row>
  </sheetData>
  <mergeCells count="14">
    <mergeCell ref="B50:E50"/>
    <mergeCell ref="B85:D85"/>
    <mergeCell ref="B87:D87"/>
    <mergeCell ref="B56:E56"/>
    <mergeCell ref="B62:E62"/>
    <mergeCell ref="B66:E66"/>
    <mergeCell ref="B77:E77"/>
    <mergeCell ref="B81:E81"/>
    <mergeCell ref="B83:D83"/>
    <mergeCell ref="B14:E14"/>
    <mergeCell ref="B16:E16"/>
    <mergeCell ref="B23:E23"/>
    <mergeCell ref="B39:E39"/>
    <mergeCell ref="B46:E46"/>
  </mergeCells>
  <dataValidations count="22">
    <dataValidation type="list" allowBlank="1" showInputMessage="1" showErrorMessage="1" sqref="B68:B76">
      <formula1>lista_soja_operacoesmecanizadas</formula1>
    </dataValidation>
    <dataValidation type="decimal" allowBlank="1" showInputMessage="1" showErrorMessage="1" errorTitle="Valor inválido" error="Insira apenas valores numéricos" sqref="E58:E60 E79 E68:E76">
      <formula1>0</formula1>
      <formula2>9999999999</formula2>
    </dataValidation>
    <dataValidation type="list" allowBlank="1" showInputMessage="1" showErrorMessage="1" errorTitle="Valor inválido" error="Insira apenas valores numéricos" sqref="E27">
      <formula1>lista_classetexturalsolo</formula1>
    </dataValidation>
    <dataValidation type="list" allowBlank="1" showInputMessage="1" showErrorMessage="1" errorTitle="Valor inválido" error="Insira apenas valores numéricos" sqref="E65">
      <formula1>lista_tipoconsumodiesel</formula1>
    </dataValidation>
    <dataValidation type="decimal" allowBlank="1" showInputMessage="1" showErrorMessage="1" sqref="E52:E54">
      <formula1>0</formula1>
      <formula2>999999</formula2>
    </dataValidation>
    <dataValidation type="list" allowBlank="1" showInputMessage="1" showErrorMessage="1" sqref="E18">
      <formula1>lista_uf</formula1>
    </dataValidation>
    <dataValidation type="list" allowBlank="1" showInputMessage="1" showErrorMessage="1" sqref="E21">
      <formula1>lista_bioma</formula1>
    </dataValidation>
    <dataValidation type="list" allowBlank="1" showInputMessage="1" showErrorMessage="1" sqref="E33">
      <formula1>lista_arroz_terrasbaixas_regimechuvas</formula1>
    </dataValidation>
    <dataValidation type="list" allowBlank="1" showInputMessage="1" showErrorMessage="1" sqref="E28">
      <formula1>lista_teorargila</formula1>
    </dataValidation>
    <dataValidation type="decimal" allowBlank="1" showInputMessage="1" showErrorMessage="1" sqref="E34:E37 E41:E45">
      <formula1>0</formula1>
      <formula2>999999999</formula2>
    </dataValidation>
    <dataValidation type="list" allowBlank="1" showInputMessage="1" showErrorMessage="1" sqref="E31">
      <formula1>lista_tempoadocao</formula1>
    </dataValidation>
    <dataValidation type="list" allowBlank="1" showInputMessage="1" showErrorMessage="1" sqref="E48">
      <formula1>lista_arroz_materiaorganica_quantidade</formula1>
    </dataValidation>
    <dataValidation type="list" allowBlank="1" showInputMessage="1" showErrorMessage="1" sqref="E49">
      <formula1>lista_arroz_materiaorganica_fermentada</formula1>
    </dataValidation>
    <dataValidation type="decimal" allowBlank="1" showInputMessage="1" showErrorMessage="1" errorTitle="Valor inválido" error="Insira apenas valores numéricos" promptTitle="Exemplo" prompt="-47,06" sqref="E20">
      <formula1>-9999999999</formula1>
      <formula2>99999999999</formula2>
    </dataValidation>
    <dataValidation type="decimal" allowBlank="1" showInputMessage="1" showErrorMessage="1" errorTitle="Valor inválido" error="Insira apenas valores numéricos" promptTitle="Exemplo" prompt="-22,9" sqref="E19">
      <formula1>-9999999999</formula1>
      <formula2>99999999999</formula2>
    </dataValidation>
    <dataValidation type="list" allowBlank="1" showInputMessage="1" showErrorMessage="1" sqref="E32">
      <formula1>lista_arroz_preparosolo</formula1>
    </dataValidation>
    <dataValidation type="date" operator="greaterThan" allowBlank="1" showInputMessage="1" showErrorMessage="1" errorTitle="Data inválida" error="A data de colheita deve ser posterior à data de plantio" promptTitle="Exemplo" prompt="01/01/2010" sqref="E26">
      <formula1>E25</formula1>
    </dataValidation>
    <dataValidation type="date" operator="lessThan" allowBlank="1" showInputMessage="1" showErrorMessage="1" errorTitle="Data inválida" error="A data de plantio deve ser anterior à data de colheita" promptTitle="Exemplo" prompt="01/01/2010" sqref="E25">
      <formula1>E26</formula1>
    </dataValidation>
    <dataValidation type="list" allowBlank="1" showInputMessage="1" showErrorMessage="1" sqref="D68:D76">
      <formula1>lista_binaria</formula1>
    </dataValidation>
    <dataValidation type="list" allowBlank="1" showInputMessage="1" showErrorMessage="1" errorTitle="Valor inválido" error="Insira um valor existente na lista suspensa" sqref="E30">
      <formula1>lista_usoatualterra</formula1>
    </dataValidation>
    <dataValidation type="list" allowBlank="1" showInputMessage="1" showErrorMessage="1" errorTitle="Valor inválido" error="Insira um valor existente na lista suspensa" sqref="E29">
      <formula1>lista_usoanteriorterra</formula1>
    </dataValidation>
    <dataValidation type="list" allowBlank="1" showInputMessage="1" showErrorMessage="1" errorTitle="Valor inválido" error="Insira apenas valores numéricos" sqref="E64">
      <formula1>lista_tipocombustivel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Feijao">
    <tabColor theme="3"/>
  </sheetPr>
  <dimension ref="A14:E88"/>
  <sheetViews>
    <sheetView showGridLines="0" showRowColHeaders="0" workbookViewId="0"/>
  </sheetViews>
  <sheetFormatPr defaultRowHeight="12.75"/>
  <cols>
    <col min="1" max="1" width="3.7109375" style="20" customWidth="1"/>
    <col min="2" max="2" width="37" style="20" bestFit="1" customWidth="1"/>
    <col min="3" max="3" width="26.42578125" style="20" bestFit="1" customWidth="1"/>
    <col min="4" max="4" width="18.85546875" style="20" bestFit="1" customWidth="1"/>
    <col min="5" max="5" width="30.7109375" style="20" customWidth="1"/>
    <col min="6" max="16384" width="9.140625" style="20"/>
  </cols>
  <sheetData>
    <row r="14" spans="1:5">
      <c r="A14" s="7"/>
      <c r="B14" s="452" t="s">
        <v>391</v>
      </c>
      <c r="C14" s="452"/>
      <c r="D14" s="452"/>
      <c r="E14" s="453"/>
    </row>
    <row r="15" spans="1:5">
      <c r="A15" s="44"/>
      <c r="B15" s="44"/>
      <c r="C15" s="44"/>
      <c r="D15" s="44"/>
      <c r="E15" s="44"/>
    </row>
    <row r="16" spans="1:5">
      <c r="A16" s="44"/>
      <c r="B16" s="451" t="s">
        <v>247</v>
      </c>
      <c r="C16" s="451"/>
      <c r="D16" s="451"/>
      <c r="E16" s="451"/>
    </row>
    <row r="17" spans="1:5" ht="13.5" thickBot="1">
      <c r="A17" s="44"/>
      <c r="B17" s="301"/>
      <c r="C17" s="302" t="s">
        <v>232</v>
      </c>
      <c r="D17" s="302" t="s">
        <v>222</v>
      </c>
      <c r="E17" s="303" t="s">
        <v>535</v>
      </c>
    </row>
    <row r="18" spans="1:5">
      <c r="A18" s="44"/>
      <c r="B18" s="304" t="s">
        <v>46</v>
      </c>
      <c r="C18" s="305" t="s">
        <v>225</v>
      </c>
      <c r="D18" s="306" t="s">
        <v>225</v>
      </c>
      <c r="E18" s="9"/>
    </row>
    <row r="19" spans="1:5">
      <c r="A19" s="44"/>
      <c r="B19" s="307" t="s">
        <v>230</v>
      </c>
      <c r="C19" s="308" t="s">
        <v>225</v>
      </c>
      <c r="D19" s="309" t="s">
        <v>223</v>
      </c>
      <c r="E19" s="321"/>
    </row>
    <row r="20" spans="1:5">
      <c r="A20" s="44"/>
      <c r="B20" s="307" t="s">
        <v>231</v>
      </c>
      <c r="C20" s="308" t="s">
        <v>225</v>
      </c>
      <c r="D20" s="309" t="s">
        <v>223</v>
      </c>
      <c r="E20" s="16"/>
    </row>
    <row r="21" spans="1:5">
      <c r="A21" s="44"/>
      <c r="B21" s="307" t="s">
        <v>8</v>
      </c>
      <c r="C21" s="308" t="s">
        <v>225</v>
      </c>
      <c r="D21" s="309" t="s">
        <v>225</v>
      </c>
      <c r="E21" s="9"/>
    </row>
    <row r="22" spans="1:5">
      <c r="A22" s="44"/>
    </row>
    <row r="23" spans="1:5">
      <c r="A23" s="44"/>
      <c r="B23" s="451" t="s">
        <v>361</v>
      </c>
      <c r="C23" s="451"/>
      <c r="D23" s="451"/>
      <c r="E23" s="451"/>
    </row>
    <row r="24" spans="1:5" ht="13.5" thickBot="1">
      <c r="A24" s="44"/>
      <c r="B24" s="301"/>
      <c r="C24" s="302" t="s">
        <v>232</v>
      </c>
      <c r="D24" s="302" t="s">
        <v>222</v>
      </c>
      <c r="E24" s="303" t="s">
        <v>535</v>
      </c>
    </row>
    <row r="25" spans="1:5">
      <c r="A25" s="44"/>
      <c r="B25" s="304" t="s">
        <v>148</v>
      </c>
      <c r="C25" s="306" t="s">
        <v>225</v>
      </c>
      <c r="D25" s="306" t="s">
        <v>225</v>
      </c>
      <c r="E25" s="28"/>
    </row>
    <row r="26" spans="1:5">
      <c r="A26" s="44"/>
      <c r="B26" s="307" t="s">
        <v>149</v>
      </c>
      <c r="C26" s="309" t="s">
        <v>225</v>
      </c>
      <c r="D26" s="309" t="s">
        <v>225</v>
      </c>
      <c r="E26" s="15"/>
    </row>
    <row r="27" spans="1:5">
      <c r="A27" s="44"/>
      <c r="B27" s="307" t="s">
        <v>104</v>
      </c>
      <c r="C27" s="309" t="s">
        <v>225</v>
      </c>
      <c r="D27" s="309" t="s">
        <v>225</v>
      </c>
      <c r="E27" s="9"/>
    </row>
    <row r="28" spans="1:5">
      <c r="A28" s="44"/>
      <c r="B28" s="307" t="s">
        <v>9</v>
      </c>
      <c r="C28" s="309" t="s">
        <v>225</v>
      </c>
      <c r="D28" s="309" t="s">
        <v>225</v>
      </c>
      <c r="E28" s="9"/>
    </row>
    <row r="29" spans="1:5">
      <c r="A29" s="44"/>
      <c r="B29" s="307" t="s">
        <v>48</v>
      </c>
      <c r="C29" s="309" t="s">
        <v>225</v>
      </c>
      <c r="D29" s="309" t="s">
        <v>225</v>
      </c>
      <c r="E29" s="9"/>
    </row>
    <row r="30" spans="1:5">
      <c r="A30" s="44"/>
      <c r="B30" s="307" t="s">
        <v>214</v>
      </c>
      <c r="C30" s="309" t="s">
        <v>225</v>
      </c>
      <c r="D30" s="309" t="s">
        <v>225</v>
      </c>
      <c r="E30" s="9"/>
    </row>
    <row r="31" spans="1:5">
      <c r="A31" s="44"/>
      <c r="B31" s="307" t="s">
        <v>47</v>
      </c>
      <c r="C31" s="309" t="s">
        <v>225</v>
      </c>
      <c r="D31" s="309" t="s">
        <v>225</v>
      </c>
      <c r="E31" s="9"/>
    </row>
    <row r="32" spans="1:5">
      <c r="A32" s="44"/>
      <c r="B32" s="307" t="s">
        <v>242</v>
      </c>
      <c r="C32" s="309" t="s">
        <v>225</v>
      </c>
      <c r="D32" s="309" t="s">
        <v>226</v>
      </c>
      <c r="E32" s="13"/>
    </row>
    <row r="33" spans="1:5">
      <c r="A33" s="44"/>
      <c r="B33" s="307" t="s">
        <v>360</v>
      </c>
      <c r="C33" s="309" t="s">
        <v>225</v>
      </c>
      <c r="D33" s="309" t="s">
        <v>226</v>
      </c>
      <c r="E33" s="13"/>
    </row>
    <row r="34" spans="1:5">
      <c r="A34" s="44"/>
      <c r="B34" s="307" t="s">
        <v>228</v>
      </c>
      <c r="C34" s="309" t="s">
        <v>225</v>
      </c>
      <c r="D34" s="309" t="s">
        <v>226</v>
      </c>
      <c r="E34" s="13"/>
    </row>
    <row r="35" spans="1:5">
      <c r="A35" s="44"/>
      <c r="B35" s="307" t="s">
        <v>229</v>
      </c>
      <c r="C35" s="309" t="s">
        <v>225</v>
      </c>
      <c r="D35" s="309" t="s">
        <v>227</v>
      </c>
      <c r="E35" s="14"/>
    </row>
    <row r="36" spans="1:5">
      <c r="A36" s="44"/>
    </row>
    <row r="37" spans="1:5">
      <c r="A37" s="44"/>
      <c r="B37" s="451" t="s">
        <v>248</v>
      </c>
      <c r="C37" s="451"/>
      <c r="D37" s="451"/>
      <c r="E37" s="451"/>
    </row>
    <row r="38" spans="1:5" ht="13.5" thickBot="1">
      <c r="A38" s="44"/>
      <c r="B38" s="310" t="s">
        <v>252</v>
      </c>
      <c r="C38" s="302" t="s">
        <v>232</v>
      </c>
      <c r="D38" s="302" t="s">
        <v>222</v>
      </c>
      <c r="E38" s="303" t="s">
        <v>535</v>
      </c>
    </row>
    <row r="39" spans="1:5">
      <c r="A39" s="44"/>
      <c r="B39" s="304" t="s">
        <v>234</v>
      </c>
      <c r="C39" s="306" t="s">
        <v>243</v>
      </c>
      <c r="D39" s="306" t="s">
        <v>233</v>
      </c>
      <c r="E39" s="14"/>
    </row>
    <row r="40" spans="1:5">
      <c r="A40" s="44"/>
      <c r="B40" s="307" t="s">
        <v>364</v>
      </c>
      <c r="C40" s="309" t="s">
        <v>225</v>
      </c>
      <c r="D40" s="309" t="s">
        <v>224</v>
      </c>
      <c r="E40" s="13"/>
    </row>
    <row r="41" spans="1:5">
      <c r="A41" s="10"/>
      <c r="B41" s="307" t="s">
        <v>221</v>
      </c>
      <c r="C41" s="309" t="s">
        <v>225</v>
      </c>
      <c r="D41" s="309" t="s">
        <v>233</v>
      </c>
      <c r="E41" s="14"/>
    </row>
    <row r="42" spans="1:5">
      <c r="A42" s="10"/>
      <c r="B42" s="307" t="s">
        <v>235</v>
      </c>
      <c r="C42" s="309" t="s">
        <v>225</v>
      </c>
      <c r="D42" s="309" t="s">
        <v>233</v>
      </c>
      <c r="E42" s="14"/>
    </row>
    <row r="43" spans="1:5">
      <c r="A43" s="44"/>
      <c r="B43" s="307" t="s">
        <v>236</v>
      </c>
      <c r="C43" s="309" t="s">
        <v>225</v>
      </c>
      <c r="D43" s="309" t="s">
        <v>233</v>
      </c>
      <c r="E43" s="14"/>
    </row>
    <row r="44" spans="1:5">
      <c r="A44" s="44"/>
      <c r="B44" s="448"/>
      <c r="C44" s="449"/>
      <c r="D44" s="449"/>
      <c r="E44" s="450"/>
    </row>
    <row r="45" spans="1:5" ht="13.5" thickBot="1">
      <c r="A45" s="10"/>
      <c r="B45" s="310" t="s">
        <v>50</v>
      </c>
      <c r="C45" s="302" t="s">
        <v>232</v>
      </c>
      <c r="D45" s="302" t="s">
        <v>222</v>
      </c>
      <c r="E45" s="303" t="s">
        <v>535</v>
      </c>
    </row>
    <row r="46" spans="1:5">
      <c r="A46" s="10"/>
      <c r="B46" s="304" t="s">
        <v>60</v>
      </c>
      <c r="C46" s="306" t="s">
        <v>225</v>
      </c>
      <c r="D46" s="306" t="s">
        <v>233</v>
      </c>
      <c r="E46" s="76"/>
    </row>
    <row r="47" spans="1:5">
      <c r="A47" s="10"/>
      <c r="B47" s="307" t="s">
        <v>293</v>
      </c>
      <c r="C47" s="309" t="s">
        <v>374</v>
      </c>
      <c r="D47" s="309" t="s">
        <v>233</v>
      </c>
      <c r="E47" s="76"/>
    </row>
    <row r="48" spans="1:5">
      <c r="A48" s="10"/>
      <c r="B48" s="307" t="s">
        <v>293</v>
      </c>
      <c r="C48" s="309" t="s">
        <v>316</v>
      </c>
      <c r="D48" s="309" t="s">
        <v>233</v>
      </c>
      <c r="E48" s="76"/>
    </row>
    <row r="49" spans="2:5">
      <c r="B49" s="307" t="s">
        <v>44</v>
      </c>
      <c r="C49" s="309" t="s">
        <v>225</v>
      </c>
      <c r="D49" s="309" t="s">
        <v>233</v>
      </c>
      <c r="E49" s="76"/>
    </row>
    <row r="50" spans="2:5">
      <c r="B50" s="448"/>
      <c r="C50" s="449"/>
      <c r="D50" s="449"/>
      <c r="E50" s="450"/>
    </row>
    <row r="51" spans="2:5" ht="13.5" thickBot="1">
      <c r="B51" s="310" t="s">
        <v>238</v>
      </c>
      <c r="C51" s="302" t="s">
        <v>232</v>
      </c>
      <c r="D51" s="302" t="s">
        <v>222</v>
      </c>
      <c r="E51" s="303" t="s">
        <v>535</v>
      </c>
    </row>
    <row r="52" spans="2:5">
      <c r="B52" s="304" t="s">
        <v>71</v>
      </c>
      <c r="C52" s="306" t="s">
        <v>225</v>
      </c>
      <c r="D52" s="306" t="s">
        <v>233</v>
      </c>
      <c r="E52" s="27"/>
    </row>
    <row r="53" spans="2:5">
      <c r="B53" s="307" t="s">
        <v>72</v>
      </c>
      <c r="C53" s="309" t="s">
        <v>225</v>
      </c>
      <c r="D53" s="309" t="s">
        <v>233</v>
      </c>
      <c r="E53" s="26"/>
    </row>
    <row r="54" spans="2:5">
      <c r="B54" s="307" t="s">
        <v>44</v>
      </c>
      <c r="C54" s="309" t="s">
        <v>225</v>
      </c>
      <c r="D54" s="309" t="s">
        <v>233</v>
      </c>
      <c r="E54" s="26"/>
    </row>
    <row r="56" spans="2:5">
      <c r="B56" s="451" t="s">
        <v>249</v>
      </c>
      <c r="C56" s="451"/>
      <c r="D56" s="451"/>
      <c r="E56" s="451"/>
    </row>
    <row r="57" spans="2:5" ht="13.5" thickBot="1">
      <c r="B57" s="311"/>
      <c r="C57" s="302" t="s">
        <v>232</v>
      </c>
      <c r="D57" s="302" t="s">
        <v>222</v>
      </c>
      <c r="E57" s="303" t="s">
        <v>535</v>
      </c>
    </row>
    <row r="58" spans="2:5">
      <c r="B58" s="304" t="s">
        <v>241</v>
      </c>
      <c r="C58" s="306" t="s">
        <v>225</v>
      </c>
      <c r="D58" s="306" t="s">
        <v>237</v>
      </c>
      <c r="E58" s="16"/>
    </row>
    <row r="59" spans="2:5">
      <c r="B59" s="307" t="s">
        <v>239</v>
      </c>
      <c r="C59" s="309" t="s">
        <v>225</v>
      </c>
      <c r="D59" s="309" t="s">
        <v>237</v>
      </c>
      <c r="E59" s="16"/>
    </row>
    <row r="60" spans="2:5">
      <c r="B60" s="307" t="s">
        <v>240</v>
      </c>
      <c r="C60" s="309" t="s">
        <v>225</v>
      </c>
      <c r="D60" s="309" t="s">
        <v>237</v>
      </c>
      <c r="E60" s="16"/>
    </row>
    <row r="62" spans="2:5">
      <c r="B62" s="451" t="s">
        <v>415</v>
      </c>
      <c r="C62" s="451"/>
      <c r="D62" s="451"/>
      <c r="E62" s="451"/>
    </row>
    <row r="63" spans="2:5" ht="13.5" thickBot="1">
      <c r="B63" s="311"/>
      <c r="C63" s="302" t="s">
        <v>232</v>
      </c>
      <c r="D63" s="302" t="s">
        <v>222</v>
      </c>
      <c r="E63" s="303" t="s">
        <v>535</v>
      </c>
    </row>
    <row r="64" spans="2:5">
      <c r="B64" s="304" t="s">
        <v>502</v>
      </c>
      <c r="C64" s="306" t="s">
        <v>225</v>
      </c>
      <c r="D64" s="306" t="s">
        <v>225</v>
      </c>
      <c r="E64" s="79"/>
    </row>
    <row r="65" spans="2:5">
      <c r="B65" s="304" t="s">
        <v>246</v>
      </c>
      <c r="C65" s="306" t="s">
        <v>225</v>
      </c>
      <c r="D65" s="306" t="s">
        <v>225</v>
      </c>
      <c r="E65" s="79"/>
    </row>
    <row r="66" spans="2:5" hidden="1">
      <c r="B66" s="448"/>
      <c r="C66" s="449"/>
      <c r="D66" s="449"/>
      <c r="E66" s="450"/>
    </row>
    <row r="67" spans="2:5" ht="13.5" hidden="1" thickBot="1">
      <c r="B67" s="310" t="s">
        <v>93</v>
      </c>
      <c r="C67" s="302" t="s">
        <v>232</v>
      </c>
      <c r="D67" s="310" t="s">
        <v>250</v>
      </c>
      <c r="E67" s="310" t="s">
        <v>424</v>
      </c>
    </row>
    <row r="68" spans="2:5" hidden="1">
      <c r="B68" s="304" t="s">
        <v>6</v>
      </c>
      <c r="C68" s="306" t="s">
        <v>225</v>
      </c>
      <c r="D68" s="79"/>
      <c r="E68" s="76"/>
    </row>
    <row r="69" spans="2:5" hidden="1">
      <c r="B69" s="304" t="s">
        <v>127</v>
      </c>
      <c r="C69" s="306" t="s">
        <v>225</v>
      </c>
      <c r="D69" s="79"/>
      <c r="E69" s="76"/>
    </row>
    <row r="70" spans="2:5" hidden="1">
      <c r="B70" s="304" t="s">
        <v>112</v>
      </c>
      <c r="C70" s="306" t="s">
        <v>225</v>
      </c>
      <c r="D70" s="79"/>
      <c r="E70" s="76"/>
    </row>
    <row r="71" spans="2:5" hidden="1">
      <c r="B71" s="304" t="s">
        <v>114</v>
      </c>
      <c r="C71" s="306" t="s">
        <v>225</v>
      </c>
      <c r="D71" s="79"/>
      <c r="E71" s="76"/>
    </row>
    <row r="72" spans="2:5" hidden="1">
      <c r="B72" s="304" t="s">
        <v>117</v>
      </c>
      <c r="C72" s="306" t="s">
        <v>225</v>
      </c>
      <c r="D72" s="79"/>
      <c r="E72" s="76"/>
    </row>
    <row r="73" spans="2:5" hidden="1">
      <c r="B73" s="307" t="s">
        <v>118</v>
      </c>
      <c r="C73" s="306" t="s">
        <v>225</v>
      </c>
      <c r="D73" s="79"/>
      <c r="E73" s="76"/>
    </row>
    <row r="74" spans="2:5" hidden="1">
      <c r="B74" s="307" t="s">
        <v>96</v>
      </c>
      <c r="C74" s="306" t="s">
        <v>225</v>
      </c>
      <c r="D74" s="79"/>
      <c r="E74" s="76"/>
    </row>
    <row r="75" spans="2:5" hidden="1">
      <c r="B75" s="307" t="s">
        <v>98</v>
      </c>
      <c r="C75" s="306" t="s">
        <v>225</v>
      </c>
      <c r="D75" s="79"/>
      <c r="E75" s="76"/>
    </row>
    <row r="76" spans="2:5" hidden="1">
      <c r="B76" s="307" t="s">
        <v>119</v>
      </c>
      <c r="C76" s="309" t="s">
        <v>225</v>
      </c>
      <c r="D76" s="79"/>
      <c r="E76" s="76"/>
    </row>
    <row r="77" spans="2:5" hidden="1">
      <c r="B77" s="307" t="s">
        <v>392</v>
      </c>
      <c r="C77" s="309" t="s">
        <v>225</v>
      </c>
      <c r="D77" s="79"/>
      <c r="E77" s="76"/>
    </row>
    <row r="78" spans="2:5" hidden="1">
      <c r="B78" s="448"/>
      <c r="C78" s="449"/>
      <c r="D78" s="449"/>
      <c r="E78" s="450"/>
    </row>
    <row r="79" spans="2:5" ht="13.5" hidden="1" thickBot="1">
      <c r="B79" s="310" t="s">
        <v>251</v>
      </c>
      <c r="C79" s="302" t="s">
        <v>232</v>
      </c>
      <c r="D79" s="302" t="s">
        <v>222</v>
      </c>
      <c r="E79" s="310" t="s">
        <v>75</v>
      </c>
    </row>
    <row r="80" spans="2:5" hidden="1">
      <c r="B80" s="304" t="s">
        <v>177</v>
      </c>
      <c r="C80" s="306" t="s">
        <v>225</v>
      </c>
      <c r="D80" s="306" t="s">
        <v>244</v>
      </c>
      <c r="E80" s="12"/>
    </row>
    <row r="82" spans="1:5">
      <c r="A82" s="7"/>
      <c r="B82" s="452" t="s">
        <v>382</v>
      </c>
      <c r="C82" s="452"/>
      <c r="D82" s="452"/>
      <c r="E82" s="453"/>
    </row>
    <row r="84" spans="1:5" ht="14.25">
      <c r="B84" s="446" t="s">
        <v>425</v>
      </c>
      <c r="C84" s="447"/>
      <c r="D84" s="447"/>
      <c r="E84" s="313">
        <f>IF(ISERROR('Síntese das emissões'!C226),"-",'Síntese das emissões'!C226)</f>
        <v>0</v>
      </c>
    </row>
    <row r="85" spans="1:5">
      <c r="B85" s="314"/>
      <c r="C85" s="314"/>
      <c r="D85" s="314"/>
      <c r="E85" s="315"/>
    </row>
    <row r="86" spans="1:5" ht="14.25">
      <c r="B86" s="446" t="s">
        <v>426</v>
      </c>
      <c r="C86" s="447"/>
      <c r="D86" s="447"/>
      <c r="E86" s="313" t="str">
        <f>IF(ISERROR('Síntese das emissões'!D226),"-",'Síntese das emissões'!D226)</f>
        <v>-</v>
      </c>
    </row>
    <row r="87" spans="1:5">
      <c r="B87" s="316"/>
      <c r="C87" s="316"/>
      <c r="D87" s="316"/>
      <c r="E87" s="317"/>
    </row>
    <row r="88" spans="1:5" ht="14.25">
      <c r="B88" s="446" t="s">
        <v>427</v>
      </c>
      <c r="C88" s="447"/>
      <c r="D88" s="447"/>
      <c r="E88" s="313" t="str">
        <f>IF(ISERROR('Síntese das emissões'!E226),"-",'Síntese das emissões'!E226)</f>
        <v>-</v>
      </c>
    </row>
  </sheetData>
  <mergeCells count="14">
    <mergeCell ref="B86:D86"/>
    <mergeCell ref="B88:D88"/>
    <mergeCell ref="B56:E56"/>
    <mergeCell ref="B62:E62"/>
    <mergeCell ref="B66:E66"/>
    <mergeCell ref="B78:E78"/>
    <mergeCell ref="B82:E82"/>
    <mergeCell ref="B84:D84"/>
    <mergeCell ref="B50:E50"/>
    <mergeCell ref="B14:E14"/>
    <mergeCell ref="B16:E16"/>
    <mergeCell ref="B23:E23"/>
    <mergeCell ref="B37:E37"/>
    <mergeCell ref="B44:E44"/>
  </mergeCells>
  <dataValidations count="17">
    <dataValidation type="list" allowBlank="1" showInputMessage="1" showErrorMessage="1" sqref="B68:B77">
      <formula1>lista_soja_operacoesmecanizadas</formula1>
    </dataValidation>
    <dataValidation type="list" allowBlank="1" showInputMessage="1" showErrorMessage="1" errorTitle="Valor inválido" error="Insira um valor existente na lista suspensa" sqref="E21">
      <formula1>lista_bioma</formula1>
    </dataValidation>
    <dataValidation type="list" allowBlank="1" showInputMessage="1" showErrorMessage="1" errorTitle="Valor inválido" error="Insira um valor existente na lista suspensa" sqref="E28">
      <formula1>lista_teorargila</formula1>
    </dataValidation>
    <dataValidation type="list" allowBlank="1" showInputMessage="1" showErrorMessage="1" errorTitle="Valor inválido" error="Insira um valor existente na lista suspensa" sqref="E31">
      <formula1>lista_tempoadocao</formula1>
    </dataValidation>
    <dataValidation type="list" allowBlank="1" showInputMessage="1" showErrorMessage="1" errorTitle="Valor inválido" error="Insira um valor existente na lista suspensa" sqref="E18">
      <formula1>lista_uf</formula1>
    </dataValidation>
    <dataValidation type="decimal" allowBlank="1" showInputMessage="1" showErrorMessage="1" errorTitle="Valor inválido" error="Insira apenas valores numéricos" sqref="E58:E60 E32:E35 E39:E43 E80 E68:E77">
      <formula1>0</formula1>
      <formula2>9999999999</formula2>
    </dataValidation>
    <dataValidation type="list" allowBlank="1" showInputMessage="1" showErrorMessage="1" errorTitle="Valor inválido" error="Insira apenas valores numéricos" sqref="E27">
      <formula1>lista_classetexturalsolo</formula1>
    </dataValidation>
    <dataValidation type="list" allowBlank="1" showInputMessage="1" showErrorMessage="1" errorTitle="Valor inválido" error="Insira apenas valores numéricos" sqref="E65">
      <formula1>lista_tipoconsumodiesel</formula1>
    </dataValidation>
    <dataValidation type="decimal" allowBlank="1" showInputMessage="1" showErrorMessage="1" sqref="E52:E54 E46:E49">
      <formula1>0</formula1>
      <formula2>999999</formula2>
    </dataValidation>
    <dataValidation type="decimal" allowBlank="1" showInputMessage="1" showErrorMessage="1" errorTitle="Valor inválido" error="Insira apenas valores numéricos" promptTitle="Exemplo" prompt="-47,06" sqref="E20">
      <formula1>-9999999999</formula1>
      <formula2>99999999999</formula2>
    </dataValidation>
    <dataValidation type="decimal" allowBlank="1" showInputMessage="1" showErrorMessage="1" errorTitle="Valor inválido" error="Insira apenas valores numéricos" promptTitle="Exemplo" prompt="-22,9" sqref="E19">
      <formula1>-9999999999</formula1>
      <formula2>99999999999</formula2>
    </dataValidation>
    <dataValidation type="date" operator="greaterThan" allowBlank="1" showInputMessage="1" showErrorMessage="1" errorTitle="Data inválida" error="A data de colheita deve ser posterior à data de plantio" promptTitle="Exemplo" prompt="01/01/2010" sqref="E26">
      <formula1>E25</formula1>
    </dataValidation>
    <dataValidation type="date" operator="lessThan" allowBlank="1" showInputMessage="1" showErrorMessage="1" errorTitle="Data inválida" error="A data de plantio deve ser anterior à data de colheita" promptTitle="Exemplo" prompt="01/01/2010" sqref="E25">
      <formula1>E26</formula1>
    </dataValidation>
    <dataValidation type="list" allowBlank="1" showInputMessage="1" showErrorMessage="1" sqref="D68:D77">
      <formula1>lista_binaria</formula1>
    </dataValidation>
    <dataValidation type="list" allowBlank="1" showInputMessage="1" showErrorMessage="1" errorTitle="Valor inválido" error="Insira um valor existente na lista suspensa" sqref="E30">
      <formula1>lista_usoatualterra</formula1>
    </dataValidation>
    <dataValidation type="list" allowBlank="1" showInputMessage="1" showErrorMessage="1" errorTitle="Valor inválido" error="Insira um valor existente na lista suspensa" sqref="E29">
      <formula1>lista_usoanteriorterra</formula1>
    </dataValidation>
    <dataValidation type="list" allowBlank="1" showInputMessage="1" showErrorMessage="1" errorTitle="Valor inválido" error="Insira apenas valores numéricos" sqref="E64">
      <formula1>lista_tipocombustivel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Cana">
    <tabColor theme="3"/>
  </sheetPr>
  <dimension ref="A14:I90"/>
  <sheetViews>
    <sheetView showGridLines="0" showRowColHeaders="0" workbookViewId="0"/>
  </sheetViews>
  <sheetFormatPr defaultRowHeight="12.75"/>
  <cols>
    <col min="1" max="1" width="3.7109375" style="20" customWidth="1"/>
    <col min="2" max="2" width="33.5703125" style="20" bestFit="1" customWidth="1"/>
    <col min="3" max="3" width="26.42578125" style="20" bestFit="1" customWidth="1"/>
    <col min="4" max="4" width="18.85546875" style="20" bestFit="1" customWidth="1"/>
    <col min="5" max="5" width="30.7109375" style="20" customWidth="1"/>
    <col min="6" max="6" width="9.140625" style="20"/>
    <col min="7" max="9" width="10.140625" style="20" bestFit="1" customWidth="1"/>
    <col min="10" max="16384" width="9.140625" style="20"/>
  </cols>
  <sheetData>
    <row r="14" spans="1:5">
      <c r="A14" s="7"/>
      <c r="B14" s="452" t="s">
        <v>410</v>
      </c>
      <c r="C14" s="452"/>
      <c r="D14" s="452"/>
      <c r="E14" s="453"/>
    </row>
    <row r="15" spans="1:5">
      <c r="A15" s="44"/>
      <c r="B15" s="44"/>
      <c r="C15" s="44"/>
      <c r="D15" s="44"/>
      <c r="E15" s="44"/>
    </row>
    <row r="16" spans="1:5">
      <c r="A16" s="44"/>
      <c r="B16" s="451" t="s">
        <v>247</v>
      </c>
      <c r="C16" s="451"/>
      <c r="D16" s="451"/>
      <c r="E16" s="451"/>
    </row>
    <row r="17" spans="1:9" ht="13.5" thickBot="1">
      <c r="A17" s="44"/>
      <c r="B17" s="301"/>
      <c r="C17" s="302" t="s">
        <v>232</v>
      </c>
      <c r="D17" s="302" t="s">
        <v>222</v>
      </c>
      <c r="E17" s="303" t="s">
        <v>535</v>
      </c>
    </row>
    <row r="18" spans="1:9">
      <c r="A18" s="44"/>
      <c r="B18" s="304" t="s">
        <v>46</v>
      </c>
      <c r="C18" s="305" t="s">
        <v>225</v>
      </c>
      <c r="D18" s="306" t="s">
        <v>225</v>
      </c>
      <c r="E18" s="22"/>
    </row>
    <row r="19" spans="1:9">
      <c r="A19" s="44"/>
      <c r="B19" s="307" t="s">
        <v>230</v>
      </c>
      <c r="C19" s="308" t="s">
        <v>225</v>
      </c>
      <c r="D19" s="309" t="s">
        <v>223</v>
      </c>
      <c r="E19" s="321"/>
    </row>
    <row r="20" spans="1:9">
      <c r="A20" s="44"/>
      <c r="B20" s="307" t="s">
        <v>231</v>
      </c>
      <c r="C20" s="308" t="s">
        <v>225</v>
      </c>
      <c r="D20" s="309" t="s">
        <v>223</v>
      </c>
      <c r="E20" s="16"/>
    </row>
    <row r="21" spans="1:9">
      <c r="A21" s="44"/>
      <c r="B21" s="307" t="s">
        <v>8</v>
      </c>
      <c r="C21" s="308" t="s">
        <v>225</v>
      </c>
      <c r="D21" s="309" t="s">
        <v>225</v>
      </c>
      <c r="E21" s="22"/>
    </row>
    <row r="22" spans="1:9">
      <c r="A22" s="44"/>
    </row>
    <row r="23" spans="1:9">
      <c r="A23" s="44"/>
      <c r="B23" s="451" t="s">
        <v>361</v>
      </c>
      <c r="C23" s="451"/>
      <c r="D23" s="451"/>
      <c r="E23" s="451"/>
      <c r="I23" s="50"/>
    </row>
    <row r="24" spans="1:9" ht="13.5" thickBot="1">
      <c r="A24" s="44"/>
      <c r="B24" s="301"/>
      <c r="C24" s="302" t="s">
        <v>232</v>
      </c>
      <c r="D24" s="302" t="s">
        <v>222</v>
      </c>
      <c r="E24" s="303" t="s">
        <v>535</v>
      </c>
      <c r="G24" s="322"/>
      <c r="H24" s="50"/>
    </row>
    <row r="25" spans="1:9">
      <c r="A25" s="44"/>
      <c r="B25" s="304" t="s">
        <v>175</v>
      </c>
      <c r="C25" s="306" t="s">
        <v>225</v>
      </c>
      <c r="D25" s="306" t="s">
        <v>225</v>
      </c>
      <c r="E25" s="22"/>
      <c r="H25" s="50"/>
    </row>
    <row r="26" spans="1:9">
      <c r="A26" s="44"/>
      <c r="B26" s="307" t="s">
        <v>149</v>
      </c>
      <c r="C26" s="309" t="s">
        <v>225</v>
      </c>
      <c r="D26" s="309" t="s">
        <v>225</v>
      </c>
      <c r="E26" s="15"/>
    </row>
    <row r="27" spans="1:9">
      <c r="A27" s="44"/>
      <c r="B27" s="307" t="s">
        <v>104</v>
      </c>
      <c r="C27" s="309" t="s">
        <v>225</v>
      </c>
      <c r="D27" s="309" t="s">
        <v>225</v>
      </c>
      <c r="E27" s="9"/>
      <c r="G27" s="50"/>
      <c r="H27" s="50"/>
    </row>
    <row r="28" spans="1:9">
      <c r="A28" s="44"/>
      <c r="B28" s="307" t="s">
        <v>9</v>
      </c>
      <c r="C28" s="309" t="s">
        <v>225</v>
      </c>
      <c r="D28" s="309" t="s">
        <v>225</v>
      </c>
      <c r="E28" s="22"/>
    </row>
    <row r="29" spans="1:9">
      <c r="A29" s="44"/>
      <c r="B29" s="307" t="s">
        <v>48</v>
      </c>
      <c r="C29" s="309" t="s">
        <v>225</v>
      </c>
      <c r="D29" s="309" t="s">
        <v>225</v>
      </c>
      <c r="E29" s="23"/>
    </row>
    <row r="30" spans="1:9">
      <c r="A30" s="44"/>
      <c r="B30" s="307" t="s">
        <v>214</v>
      </c>
      <c r="C30" s="309" t="s">
        <v>225</v>
      </c>
      <c r="D30" s="309" t="s">
        <v>225</v>
      </c>
      <c r="E30" s="22"/>
    </row>
    <row r="31" spans="1:9">
      <c r="A31" s="44"/>
      <c r="B31" s="307" t="s">
        <v>47</v>
      </c>
      <c r="C31" s="309" t="s">
        <v>225</v>
      </c>
      <c r="D31" s="309" t="s">
        <v>225</v>
      </c>
      <c r="E31" s="22"/>
    </row>
    <row r="32" spans="1:9">
      <c r="A32" s="44"/>
      <c r="B32" s="307" t="s">
        <v>242</v>
      </c>
      <c r="C32" s="309" t="s">
        <v>225</v>
      </c>
      <c r="D32" s="309" t="s">
        <v>226</v>
      </c>
      <c r="E32" s="71"/>
    </row>
    <row r="33" spans="1:7">
      <c r="A33" s="44"/>
      <c r="B33" s="307" t="s">
        <v>360</v>
      </c>
      <c r="C33" s="309" t="s">
        <v>225</v>
      </c>
      <c r="D33" s="309" t="s">
        <v>226</v>
      </c>
      <c r="E33" s="71"/>
    </row>
    <row r="34" spans="1:7">
      <c r="A34" s="44"/>
      <c r="B34" s="307" t="s">
        <v>228</v>
      </c>
      <c r="C34" s="309" t="s">
        <v>225</v>
      </c>
      <c r="D34" s="309" t="s">
        <v>226</v>
      </c>
      <c r="E34" s="71"/>
    </row>
    <row r="35" spans="1:7">
      <c r="A35" s="44"/>
      <c r="B35" s="307" t="s">
        <v>229</v>
      </c>
      <c r="C35" s="309" t="s">
        <v>225</v>
      </c>
      <c r="D35" s="309" t="s">
        <v>227</v>
      </c>
      <c r="E35" s="71"/>
    </row>
    <row r="36" spans="1:7">
      <c r="A36" s="44"/>
    </row>
    <row r="37" spans="1:7">
      <c r="A37" s="44"/>
      <c r="B37" s="451" t="s">
        <v>248</v>
      </c>
      <c r="C37" s="451"/>
      <c r="D37" s="451"/>
      <c r="E37" s="451"/>
    </row>
    <row r="38" spans="1:7" ht="13.5" thickBot="1">
      <c r="A38" s="44"/>
      <c r="B38" s="310" t="s">
        <v>252</v>
      </c>
      <c r="C38" s="302" t="s">
        <v>232</v>
      </c>
      <c r="D38" s="302" t="s">
        <v>222</v>
      </c>
      <c r="E38" s="303" t="s">
        <v>535</v>
      </c>
    </row>
    <row r="39" spans="1:7">
      <c r="A39" s="44"/>
      <c r="B39" s="304" t="s">
        <v>234</v>
      </c>
      <c r="C39" s="306" t="s">
        <v>243</v>
      </c>
      <c r="D39" s="306" t="s">
        <v>233</v>
      </c>
      <c r="E39" s="71"/>
    </row>
    <row r="40" spans="1:7">
      <c r="A40" s="44"/>
      <c r="B40" s="307" t="s">
        <v>364</v>
      </c>
      <c r="C40" s="309" t="s">
        <v>225</v>
      </c>
      <c r="D40" s="309" t="s">
        <v>224</v>
      </c>
      <c r="E40" s="71"/>
    </row>
    <row r="41" spans="1:7">
      <c r="A41" s="10"/>
      <c r="B41" s="307" t="s">
        <v>221</v>
      </c>
      <c r="C41" s="309" t="s">
        <v>225</v>
      </c>
      <c r="D41" s="309" t="s">
        <v>233</v>
      </c>
      <c r="E41" s="71"/>
      <c r="G41" s="50"/>
    </row>
    <row r="42" spans="1:7">
      <c r="A42" s="10"/>
      <c r="B42" s="307" t="s">
        <v>235</v>
      </c>
      <c r="C42" s="309" t="s">
        <v>225</v>
      </c>
      <c r="D42" s="309" t="s">
        <v>233</v>
      </c>
      <c r="E42" s="71"/>
    </row>
    <row r="43" spans="1:7">
      <c r="A43" s="44"/>
      <c r="B43" s="307" t="s">
        <v>236</v>
      </c>
      <c r="C43" s="309" t="s">
        <v>225</v>
      </c>
      <c r="D43" s="309" t="s">
        <v>233</v>
      </c>
      <c r="E43" s="71"/>
    </row>
    <row r="44" spans="1:7">
      <c r="A44" s="44"/>
      <c r="B44" s="448"/>
      <c r="C44" s="449"/>
      <c r="D44" s="449"/>
      <c r="E44" s="450"/>
    </row>
    <row r="45" spans="1:7" ht="13.5" thickBot="1">
      <c r="A45" s="10"/>
      <c r="B45" s="310" t="s">
        <v>50</v>
      </c>
      <c r="C45" s="302" t="s">
        <v>232</v>
      </c>
      <c r="D45" s="302" t="s">
        <v>222</v>
      </c>
      <c r="E45" s="303" t="s">
        <v>535</v>
      </c>
    </row>
    <row r="46" spans="1:7">
      <c r="A46" s="10"/>
      <c r="B46" s="304" t="s">
        <v>57</v>
      </c>
      <c r="C46" s="306" t="s">
        <v>225</v>
      </c>
      <c r="D46" s="306" t="s">
        <v>447</v>
      </c>
      <c r="E46" s="76"/>
    </row>
    <row r="47" spans="1:7">
      <c r="A47" s="10"/>
      <c r="B47" s="304" t="s">
        <v>59</v>
      </c>
      <c r="C47" s="306" t="s">
        <v>225</v>
      </c>
      <c r="D47" s="306" t="s">
        <v>233</v>
      </c>
      <c r="E47" s="76"/>
    </row>
    <row r="48" spans="1:7">
      <c r="A48" s="10"/>
      <c r="B48" s="304" t="s">
        <v>407</v>
      </c>
      <c r="C48" s="306" t="s">
        <v>225</v>
      </c>
      <c r="D48" s="306" t="s">
        <v>226</v>
      </c>
      <c r="E48" s="76"/>
    </row>
    <row r="49" spans="1:5">
      <c r="A49" s="10"/>
      <c r="B49" s="304" t="s">
        <v>60</v>
      </c>
      <c r="C49" s="306" t="s">
        <v>225</v>
      </c>
      <c r="D49" s="306" t="s">
        <v>233</v>
      </c>
      <c r="E49" s="76"/>
    </row>
    <row r="50" spans="1:5">
      <c r="B50" s="307" t="s">
        <v>293</v>
      </c>
      <c r="C50" s="309" t="s">
        <v>374</v>
      </c>
      <c r="D50" s="309" t="s">
        <v>233</v>
      </c>
      <c r="E50" s="76"/>
    </row>
    <row r="51" spans="1:5">
      <c r="B51" s="307" t="s">
        <v>293</v>
      </c>
      <c r="C51" s="309" t="s">
        <v>316</v>
      </c>
      <c r="D51" s="309" t="s">
        <v>233</v>
      </c>
      <c r="E51" s="76"/>
    </row>
    <row r="52" spans="1:5">
      <c r="B52" s="307" t="s">
        <v>44</v>
      </c>
      <c r="C52" s="309" t="s">
        <v>225</v>
      </c>
      <c r="D52" s="309" t="s">
        <v>233</v>
      </c>
      <c r="E52" s="76"/>
    </row>
    <row r="53" spans="1:5">
      <c r="B53" s="448"/>
      <c r="C53" s="449"/>
      <c r="D53" s="449"/>
      <c r="E53" s="450"/>
    </row>
    <row r="54" spans="1:5" ht="13.5" thickBot="1">
      <c r="B54" s="310" t="s">
        <v>238</v>
      </c>
      <c r="C54" s="302" t="s">
        <v>232</v>
      </c>
      <c r="D54" s="302" t="s">
        <v>222</v>
      </c>
      <c r="E54" s="303" t="s">
        <v>535</v>
      </c>
    </row>
    <row r="55" spans="1:5">
      <c r="B55" s="304" t="s">
        <v>71</v>
      </c>
      <c r="C55" s="306" t="s">
        <v>225</v>
      </c>
      <c r="D55" s="306" t="s">
        <v>233</v>
      </c>
      <c r="E55" s="27"/>
    </row>
    <row r="56" spans="1:5">
      <c r="B56" s="307" t="s">
        <v>72</v>
      </c>
      <c r="C56" s="309" t="s">
        <v>225</v>
      </c>
      <c r="D56" s="309" t="s">
        <v>233</v>
      </c>
      <c r="E56" s="26"/>
    </row>
    <row r="57" spans="1:5">
      <c r="B57" s="307" t="s">
        <v>44</v>
      </c>
      <c r="C57" s="309" t="s">
        <v>225</v>
      </c>
      <c r="D57" s="309" t="s">
        <v>233</v>
      </c>
      <c r="E57" s="26"/>
    </row>
    <row r="59" spans="1:5">
      <c r="B59" s="451" t="s">
        <v>249</v>
      </c>
      <c r="C59" s="451"/>
      <c r="D59" s="451"/>
      <c r="E59" s="451"/>
    </row>
    <row r="60" spans="1:5" ht="13.5" thickBot="1">
      <c r="B60" s="311"/>
      <c r="C60" s="302" t="s">
        <v>232</v>
      </c>
      <c r="D60" s="302" t="s">
        <v>222</v>
      </c>
      <c r="E60" s="303" t="s">
        <v>535</v>
      </c>
    </row>
    <row r="61" spans="1:5">
      <c r="B61" s="304" t="s">
        <v>241</v>
      </c>
      <c r="C61" s="306" t="s">
        <v>225</v>
      </c>
      <c r="D61" s="306" t="s">
        <v>237</v>
      </c>
      <c r="E61" s="16"/>
    </row>
    <row r="62" spans="1:5">
      <c r="B62" s="307" t="s">
        <v>239</v>
      </c>
      <c r="C62" s="309" t="s">
        <v>225</v>
      </c>
      <c r="D62" s="309" t="s">
        <v>237</v>
      </c>
      <c r="E62" s="16"/>
    </row>
    <row r="63" spans="1:5">
      <c r="B63" s="307" t="s">
        <v>240</v>
      </c>
      <c r="C63" s="309" t="s">
        <v>225</v>
      </c>
      <c r="D63" s="309" t="s">
        <v>237</v>
      </c>
      <c r="E63" s="16"/>
    </row>
    <row r="65" spans="2:5">
      <c r="B65" s="451" t="s">
        <v>415</v>
      </c>
      <c r="C65" s="451"/>
      <c r="D65" s="451"/>
      <c r="E65" s="451"/>
    </row>
    <row r="66" spans="2:5" ht="13.5" thickBot="1">
      <c r="B66" s="311"/>
      <c r="C66" s="302" t="s">
        <v>232</v>
      </c>
      <c r="D66" s="302" t="s">
        <v>222</v>
      </c>
      <c r="E66" s="303" t="s">
        <v>535</v>
      </c>
    </row>
    <row r="67" spans="2:5">
      <c r="B67" s="304" t="s">
        <v>246</v>
      </c>
      <c r="C67" s="306" t="s">
        <v>225</v>
      </c>
      <c r="D67" s="306" t="s">
        <v>225</v>
      </c>
      <c r="E67" s="79"/>
    </row>
    <row r="68" spans="2:5">
      <c r="B68" s="304" t="s">
        <v>246</v>
      </c>
      <c r="C68" s="306" t="s">
        <v>225</v>
      </c>
      <c r="D68" s="306" t="s">
        <v>225</v>
      </c>
      <c r="E68" s="79"/>
    </row>
    <row r="69" spans="2:5" hidden="1">
      <c r="B69" s="448"/>
      <c r="C69" s="449"/>
      <c r="D69" s="449"/>
      <c r="E69" s="450"/>
    </row>
    <row r="70" spans="2:5" ht="13.5" hidden="1" thickBot="1">
      <c r="B70" s="310" t="s">
        <v>93</v>
      </c>
      <c r="C70" s="302" t="s">
        <v>232</v>
      </c>
      <c r="D70" s="310" t="s">
        <v>250</v>
      </c>
      <c r="E70" s="310" t="s">
        <v>424</v>
      </c>
    </row>
    <row r="71" spans="2:5" hidden="1">
      <c r="B71" s="304" t="s">
        <v>126</v>
      </c>
      <c r="C71" s="306" t="s">
        <v>225</v>
      </c>
      <c r="D71" s="79"/>
      <c r="E71" s="76"/>
    </row>
    <row r="72" spans="2:5" hidden="1">
      <c r="B72" s="304" t="s">
        <v>127</v>
      </c>
      <c r="C72" s="306" t="s">
        <v>225</v>
      </c>
      <c r="D72" s="79"/>
      <c r="E72" s="76"/>
    </row>
    <row r="73" spans="2:5" hidden="1">
      <c r="B73" s="304" t="s">
        <v>125</v>
      </c>
      <c r="C73" s="306" t="s">
        <v>225</v>
      </c>
      <c r="D73" s="79"/>
      <c r="E73" s="76"/>
    </row>
    <row r="74" spans="2:5" hidden="1">
      <c r="B74" s="304" t="s">
        <v>112</v>
      </c>
      <c r="C74" s="306" t="s">
        <v>225</v>
      </c>
      <c r="D74" s="79"/>
      <c r="E74" s="76"/>
    </row>
    <row r="75" spans="2:5" hidden="1">
      <c r="B75" s="304" t="s">
        <v>6</v>
      </c>
      <c r="C75" s="306" t="s">
        <v>225</v>
      </c>
      <c r="D75" s="79"/>
      <c r="E75" s="76"/>
    </row>
    <row r="76" spans="2:5" hidden="1">
      <c r="B76" s="304" t="s">
        <v>128</v>
      </c>
      <c r="C76" s="306" t="s">
        <v>225</v>
      </c>
      <c r="D76" s="79"/>
      <c r="E76" s="76"/>
    </row>
    <row r="77" spans="2:5" hidden="1">
      <c r="B77" s="304" t="s">
        <v>129</v>
      </c>
      <c r="C77" s="306" t="s">
        <v>225</v>
      </c>
      <c r="D77" s="79"/>
      <c r="E77" s="76"/>
    </row>
    <row r="78" spans="2:5" hidden="1">
      <c r="B78" s="304" t="s">
        <v>130</v>
      </c>
      <c r="C78" s="306" t="s">
        <v>225</v>
      </c>
      <c r="D78" s="79"/>
      <c r="E78" s="76"/>
    </row>
    <row r="79" spans="2:5" hidden="1">
      <c r="B79" s="304" t="s">
        <v>124</v>
      </c>
      <c r="C79" s="306" t="s">
        <v>225</v>
      </c>
      <c r="D79" s="79"/>
      <c r="E79" s="76"/>
    </row>
    <row r="80" spans="2:5" hidden="1">
      <c r="B80" s="448"/>
      <c r="C80" s="449"/>
      <c r="D80" s="449"/>
      <c r="E80" s="450"/>
    </row>
    <row r="81" spans="1:5" ht="13.5" hidden="1" thickBot="1">
      <c r="B81" s="310" t="s">
        <v>251</v>
      </c>
      <c r="C81" s="302" t="s">
        <v>232</v>
      </c>
      <c r="D81" s="302" t="s">
        <v>222</v>
      </c>
      <c r="E81" s="310" t="s">
        <v>75</v>
      </c>
    </row>
    <row r="82" spans="1:5" hidden="1">
      <c r="B82" s="304" t="s">
        <v>177</v>
      </c>
      <c r="C82" s="306" t="s">
        <v>225</v>
      </c>
      <c r="D82" s="306" t="s">
        <v>244</v>
      </c>
      <c r="E82" s="12"/>
    </row>
    <row r="84" spans="1:5">
      <c r="A84" s="7"/>
      <c r="B84" s="452" t="s">
        <v>382</v>
      </c>
      <c r="C84" s="452"/>
      <c r="D84" s="452"/>
      <c r="E84" s="453"/>
    </row>
    <row r="86" spans="1:5" ht="14.25">
      <c r="B86" s="446" t="s">
        <v>425</v>
      </c>
      <c r="C86" s="447"/>
      <c r="D86" s="447"/>
      <c r="E86" s="313">
        <f>IF(ISERROR('Síntese das emissões'!C261),"-",'Síntese das emissões'!C261)</f>
        <v>0</v>
      </c>
    </row>
    <row r="87" spans="1:5">
      <c r="B87" s="314"/>
      <c r="C87" s="314"/>
      <c r="D87" s="314"/>
      <c r="E87" s="315"/>
    </row>
    <row r="88" spans="1:5" ht="14.25">
      <c r="B88" s="446" t="s">
        <v>428</v>
      </c>
      <c r="C88" s="447"/>
      <c r="D88" s="447"/>
      <c r="E88" s="313" t="str">
        <f>IF(ISERROR('Síntese das emissões'!D261),"-",'Síntese das emissões'!D261)</f>
        <v>-</v>
      </c>
    </row>
    <row r="89" spans="1:5">
      <c r="B89" s="316"/>
      <c r="C89" s="316"/>
      <c r="D89" s="316"/>
      <c r="E89" s="317"/>
    </row>
    <row r="90" spans="1:5" ht="14.25">
      <c r="B90" s="446" t="s">
        <v>427</v>
      </c>
      <c r="C90" s="447"/>
      <c r="D90" s="447"/>
      <c r="E90" s="313" t="str">
        <f>IF(ISERROR('Síntese das emissões'!E261),"-",'Síntese das emissões'!E261)</f>
        <v>-</v>
      </c>
    </row>
  </sheetData>
  <mergeCells count="14">
    <mergeCell ref="B53:E53"/>
    <mergeCell ref="B14:E14"/>
    <mergeCell ref="B16:E16"/>
    <mergeCell ref="B23:E23"/>
    <mergeCell ref="B37:E37"/>
    <mergeCell ref="B44:E44"/>
    <mergeCell ref="B88:D88"/>
    <mergeCell ref="B90:D90"/>
    <mergeCell ref="B59:E59"/>
    <mergeCell ref="B65:E65"/>
    <mergeCell ref="B69:E69"/>
    <mergeCell ref="B80:E80"/>
    <mergeCell ref="B84:E84"/>
    <mergeCell ref="B86:D86"/>
  </mergeCells>
  <dataValidations count="18">
    <dataValidation showInputMessage="1" showErrorMessage="1" sqref="B71:B79"/>
    <dataValidation type="decimal" allowBlank="1" showInputMessage="1" showErrorMessage="1" errorTitle="Valor inválido" error="Insira apenas valores numéricos" sqref="E61:E63 E82 E71:E79">
      <formula1>0</formula1>
      <formula2>9999999999</formula2>
    </dataValidation>
    <dataValidation type="list" allowBlank="1" showInputMessage="1" showErrorMessage="1" errorTitle="Valor inválido" error="Insira apenas valores numéricos" sqref="E27">
      <formula1>lista_classetexturalsolo</formula1>
    </dataValidation>
    <dataValidation type="list" allowBlank="1" showInputMessage="1" showErrorMessage="1" errorTitle="Valor inválido" error="Insira apenas valores numéricos" sqref="E68">
      <formula1>lista_tipoconsumodiesel</formula1>
    </dataValidation>
    <dataValidation type="decimal" allowBlank="1" showInputMessage="1" showErrorMessage="1" sqref="E55:E57 E46:E52">
      <formula1>0</formula1>
      <formula2>999999</formula2>
    </dataValidation>
    <dataValidation type="list" allowBlank="1" showInputMessage="1" showErrorMessage="1" sqref="E18">
      <formula1>lista_uf</formula1>
    </dataValidation>
    <dataValidation type="list" allowBlank="1" showInputMessage="1" showErrorMessage="1" sqref="E21">
      <formula1>lista_bioma</formula1>
    </dataValidation>
    <dataValidation type="list" allowBlank="1" showInputMessage="1" showErrorMessage="1" sqref="E28">
      <formula1>lista_teorargila</formula1>
    </dataValidation>
    <dataValidation type="decimal" allowBlank="1" showInputMessage="1" showErrorMessage="1" sqref="E32:E35 E39:E43">
      <formula1>0</formula1>
      <formula2>99999999999</formula2>
    </dataValidation>
    <dataValidation type="list" allowBlank="1" showInputMessage="1" showErrorMessage="1" sqref="E30">
      <formula1>lista_cana_sistemamanejoatual</formula1>
    </dataValidation>
    <dataValidation type="list" allowBlank="1" showInputMessage="1" showErrorMessage="1" sqref="E31">
      <formula1>lista_tempoadocao</formula1>
    </dataValidation>
    <dataValidation type="list" allowBlank="1" showInputMessage="1" showErrorMessage="1" sqref="E29">
      <formula1>lista_cana_usoanteriorterra</formula1>
    </dataValidation>
    <dataValidation type="list" allowBlank="1" showInputMessage="1" showErrorMessage="1" sqref="E25">
      <formula1>lista_cana_ciclo</formula1>
    </dataValidation>
    <dataValidation type="decimal" allowBlank="1" showInputMessage="1" showErrorMessage="1" errorTitle="Valor inválido" error="Insira apenas valores numéricos" promptTitle="Exemplo" prompt="-47,06" sqref="E20">
      <formula1>-9999999999</formula1>
      <formula2>99999999999</formula2>
    </dataValidation>
    <dataValidation type="decimal" allowBlank="1" showInputMessage="1" showErrorMessage="1" errorTitle="Valor inválido" error="Insira apenas valores numéricos" promptTitle="Exemplo" prompt="-22,9" sqref="E19">
      <formula1>-9999999999</formula1>
      <formula2>99999999999</formula2>
    </dataValidation>
    <dataValidation type="date" operator="greaterThan" allowBlank="1" showInputMessage="1" showErrorMessage="1" errorTitle="Valor inválido" error="Insira uma data válida" promptTitle="Exemplo" prompt="01/01/2010" sqref="E26">
      <formula1>1/1/1900</formula1>
    </dataValidation>
    <dataValidation type="list" allowBlank="1" showInputMessage="1" showErrorMessage="1" sqref="D71:D79">
      <formula1>lista_binaria</formula1>
    </dataValidation>
    <dataValidation type="list" allowBlank="1" showInputMessage="1" showErrorMessage="1" errorTitle="Valor inválido" error="Insira apenas valores numéricos" sqref="E67">
      <formula1>lista_tipocombustivel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PecuariaPastagem">
    <tabColor theme="3"/>
    <outlinePr summaryBelow="0"/>
  </sheetPr>
  <dimension ref="A14:L99"/>
  <sheetViews>
    <sheetView showGridLines="0" showRowColHeaders="0" zoomScaleNormal="100" workbookViewId="0"/>
  </sheetViews>
  <sheetFormatPr defaultRowHeight="12.75"/>
  <cols>
    <col min="1" max="1" width="3.7109375" style="20" customWidth="1"/>
    <col min="2" max="2" width="32.140625" style="20" bestFit="1" customWidth="1"/>
    <col min="3" max="3" width="26.42578125" style="20" bestFit="1" customWidth="1"/>
    <col min="4" max="4" width="18.85546875" style="20" bestFit="1" customWidth="1"/>
    <col min="5" max="5" width="30.7109375" style="20" customWidth="1"/>
    <col min="6" max="6" width="26.7109375" style="20" bestFit="1" customWidth="1"/>
    <col min="7" max="7" width="14.28515625" style="20" bestFit="1" customWidth="1"/>
    <col min="8" max="9" width="12.42578125" style="20" bestFit="1" customWidth="1"/>
    <col min="10" max="10" width="26.42578125" style="20" bestFit="1" customWidth="1"/>
    <col min="11" max="11" width="20.85546875" style="20" bestFit="1" customWidth="1"/>
    <col min="12" max="12" width="18.5703125" style="20" bestFit="1" customWidth="1"/>
    <col min="13" max="16384" width="9.140625" style="20"/>
  </cols>
  <sheetData>
    <row r="14" spans="1:8">
      <c r="A14" s="7"/>
      <c r="B14" s="354" t="s">
        <v>411</v>
      </c>
      <c r="C14" s="354"/>
      <c r="D14" s="354"/>
      <c r="E14" s="354"/>
      <c r="F14" s="354"/>
      <c r="G14" s="354"/>
      <c r="H14" s="355"/>
    </row>
    <row r="15" spans="1:8">
      <c r="A15" s="44"/>
      <c r="B15" s="44"/>
      <c r="C15" s="44"/>
      <c r="D15" s="44"/>
      <c r="E15" s="44"/>
    </row>
    <row r="16" spans="1:8">
      <c r="A16" s="44"/>
      <c r="B16" s="451" t="s">
        <v>247</v>
      </c>
      <c r="C16" s="451"/>
      <c r="D16" s="451"/>
      <c r="E16" s="451"/>
    </row>
    <row r="17" spans="1:5" ht="13.5" thickBot="1">
      <c r="A17" s="44"/>
      <c r="B17" s="301"/>
      <c r="C17" s="302" t="s">
        <v>232</v>
      </c>
      <c r="D17" s="302" t="s">
        <v>222</v>
      </c>
      <c r="E17" s="303" t="s">
        <v>535</v>
      </c>
    </row>
    <row r="18" spans="1:5">
      <c r="A18" s="44"/>
      <c r="B18" s="304" t="s">
        <v>46</v>
      </c>
      <c r="C18" s="305" t="s">
        <v>225</v>
      </c>
      <c r="D18" s="306" t="s">
        <v>225</v>
      </c>
      <c r="E18" s="9"/>
    </row>
    <row r="19" spans="1:5">
      <c r="A19" s="44"/>
      <c r="B19" s="307" t="s">
        <v>230</v>
      </c>
      <c r="C19" s="308" t="s">
        <v>225</v>
      </c>
      <c r="D19" s="309" t="s">
        <v>223</v>
      </c>
      <c r="E19" s="321"/>
    </row>
    <row r="20" spans="1:5">
      <c r="A20" s="44"/>
      <c r="B20" s="307" t="s">
        <v>231</v>
      </c>
      <c r="C20" s="308" t="s">
        <v>225</v>
      </c>
      <c r="D20" s="309" t="s">
        <v>223</v>
      </c>
      <c r="E20" s="16"/>
    </row>
    <row r="21" spans="1:5">
      <c r="A21" s="44"/>
      <c r="B21" s="307" t="s">
        <v>8</v>
      </c>
      <c r="C21" s="308" t="s">
        <v>225</v>
      </c>
      <c r="D21" s="309" t="s">
        <v>225</v>
      </c>
      <c r="E21" s="9"/>
    </row>
    <row r="22" spans="1:5">
      <c r="A22" s="44"/>
    </row>
    <row r="23" spans="1:5">
      <c r="A23" s="44"/>
      <c r="B23" s="451" t="s">
        <v>414</v>
      </c>
      <c r="C23" s="451"/>
      <c r="D23" s="451"/>
      <c r="E23" s="451"/>
    </row>
    <row r="24" spans="1:5" ht="13.5" thickBot="1">
      <c r="A24" s="44"/>
      <c r="B24" s="301"/>
      <c r="C24" s="302" t="s">
        <v>232</v>
      </c>
      <c r="D24" s="302" t="s">
        <v>222</v>
      </c>
      <c r="E24" s="303" t="s">
        <v>535</v>
      </c>
    </row>
    <row r="25" spans="1:5">
      <c r="A25" s="44"/>
      <c r="B25" s="307" t="s">
        <v>104</v>
      </c>
      <c r="C25" s="309" t="s">
        <v>225</v>
      </c>
      <c r="D25" s="309" t="s">
        <v>225</v>
      </c>
      <c r="E25" s="9"/>
    </row>
    <row r="26" spans="1:5">
      <c r="A26" s="44"/>
      <c r="B26" s="307" t="s">
        <v>9</v>
      </c>
      <c r="C26" s="309" t="s">
        <v>225</v>
      </c>
      <c r="D26" s="309" t="s">
        <v>225</v>
      </c>
      <c r="E26" s="8"/>
    </row>
    <row r="27" spans="1:5">
      <c r="A27" s="44"/>
      <c r="B27" s="307" t="s">
        <v>48</v>
      </c>
      <c r="C27" s="309" t="s">
        <v>225</v>
      </c>
      <c r="D27" s="309" t="s">
        <v>225</v>
      </c>
      <c r="E27" s="9"/>
    </row>
    <row r="28" spans="1:5">
      <c r="A28" s="44"/>
      <c r="B28" s="307" t="s">
        <v>214</v>
      </c>
      <c r="C28" s="309" t="s">
        <v>225</v>
      </c>
      <c r="D28" s="309" t="s">
        <v>225</v>
      </c>
      <c r="E28" s="9"/>
    </row>
    <row r="29" spans="1:5">
      <c r="A29" s="44"/>
      <c r="B29" s="307" t="s">
        <v>47</v>
      </c>
      <c r="C29" s="309" t="s">
        <v>225</v>
      </c>
      <c r="D29" s="309" t="s">
        <v>225</v>
      </c>
      <c r="E29" s="22"/>
    </row>
    <row r="30" spans="1:5">
      <c r="A30" s="44"/>
      <c r="B30" s="307" t="s">
        <v>360</v>
      </c>
      <c r="C30" s="309" t="s">
        <v>225</v>
      </c>
      <c r="D30" s="309" t="s">
        <v>226</v>
      </c>
      <c r="E30" s="72"/>
    </row>
    <row r="31" spans="1:5">
      <c r="A31" s="44"/>
      <c r="B31" s="307" t="s">
        <v>484</v>
      </c>
      <c r="C31" s="309" t="s">
        <v>225</v>
      </c>
      <c r="D31" s="309" t="s">
        <v>226</v>
      </c>
      <c r="E31" s="72"/>
    </row>
    <row r="32" spans="1:5">
      <c r="A32" s="44"/>
    </row>
    <row r="33" spans="1:5">
      <c r="A33" s="44"/>
      <c r="B33" s="451" t="s">
        <v>413</v>
      </c>
      <c r="C33" s="451"/>
      <c r="D33" s="451"/>
      <c r="E33" s="451"/>
    </row>
    <row r="34" spans="1:5" ht="13.5" thickBot="1">
      <c r="A34" s="44"/>
      <c r="B34" s="310" t="s">
        <v>252</v>
      </c>
      <c r="C34" s="302" t="s">
        <v>232</v>
      </c>
      <c r="D34" s="302" t="s">
        <v>222</v>
      </c>
      <c r="E34" s="303" t="s">
        <v>535</v>
      </c>
    </row>
    <row r="35" spans="1:5">
      <c r="A35" s="44"/>
      <c r="B35" s="304" t="s">
        <v>234</v>
      </c>
      <c r="C35" s="306" t="s">
        <v>243</v>
      </c>
      <c r="D35" s="306" t="s">
        <v>233</v>
      </c>
      <c r="E35" s="16"/>
    </row>
    <row r="36" spans="1:5">
      <c r="A36" s="44"/>
      <c r="B36" s="307" t="s">
        <v>364</v>
      </c>
      <c r="C36" s="309" t="s">
        <v>225</v>
      </c>
      <c r="D36" s="309" t="s">
        <v>224</v>
      </c>
      <c r="E36" s="16"/>
    </row>
    <row r="37" spans="1:5">
      <c r="A37" s="10"/>
      <c r="B37" s="307" t="s">
        <v>221</v>
      </c>
      <c r="C37" s="309" t="s">
        <v>225</v>
      </c>
      <c r="D37" s="309" t="s">
        <v>233</v>
      </c>
      <c r="E37" s="16"/>
    </row>
    <row r="38" spans="1:5">
      <c r="A38" s="10"/>
      <c r="B38" s="307" t="s">
        <v>235</v>
      </c>
      <c r="C38" s="309" t="s">
        <v>225</v>
      </c>
      <c r="D38" s="309" t="s">
        <v>233</v>
      </c>
      <c r="E38" s="16"/>
    </row>
    <row r="39" spans="1:5">
      <c r="A39" s="44"/>
      <c r="B39" s="307" t="s">
        <v>236</v>
      </c>
      <c r="C39" s="309" t="s">
        <v>225</v>
      </c>
      <c r="D39" s="309" t="s">
        <v>233</v>
      </c>
      <c r="E39" s="16"/>
    </row>
    <row r="40" spans="1:5">
      <c r="A40" s="44"/>
      <c r="B40" s="448"/>
      <c r="C40" s="449"/>
      <c r="D40" s="449"/>
      <c r="E40" s="450"/>
    </row>
    <row r="41" spans="1:5" ht="13.5" thickBot="1">
      <c r="A41" s="10"/>
      <c r="B41" s="310" t="s">
        <v>50</v>
      </c>
      <c r="C41" s="302" t="s">
        <v>232</v>
      </c>
      <c r="D41" s="302" t="s">
        <v>222</v>
      </c>
      <c r="E41" s="303" t="s">
        <v>535</v>
      </c>
    </row>
    <row r="42" spans="1:5">
      <c r="A42" s="10"/>
      <c r="B42" s="304" t="s">
        <v>60</v>
      </c>
      <c r="C42" s="306" t="s">
        <v>225</v>
      </c>
      <c r="D42" s="306" t="s">
        <v>233</v>
      </c>
      <c r="E42" s="76"/>
    </row>
    <row r="43" spans="1:5">
      <c r="A43" s="10"/>
      <c r="B43" s="307" t="s">
        <v>293</v>
      </c>
      <c r="C43" s="309" t="s">
        <v>374</v>
      </c>
      <c r="D43" s="309" t="s">
        <v>233</v>
      </c>
      <c r="E43" s="76"/>
    </row>
    <row r="44" spans="1:5">
      <c r="A44" s="10"/>
      <c r="B44" s="307" t="s">
        <v>293</v>
      </c>
      <c r="C44" s="309" t="s">
        <v>316</v>
      </c>
      <c r="D44" s="309" t="s">
        <v>233</v>
      </c>
      <c r="E44" s="76"/>
    </row>
    <row r="45" spans="1:5">
      <c r="B45" s="307" t="s">
        <v>44</v>
      </c>
      <c r="C45" s="309" t="s">
        <v>225</v>
      </c>
      <c r="D45" s="309" t="s">
        <v>233</v>
      </c>
      <c r="E45" s="76"/>
    </row>
    <row r="46" spans="1:5">
      <c r="B46" s="448"/>
      <c r="C46" s="449"/>
      <c r="D46" s="449"/>
      <c r="E46" s="450"/>
    </row>
    <row r="47" spans="1:5" ht="13.5" thickBot="1">
      <c r="B47" s="310" t="s">
        <v>238</v>
      </c>
      <c r="C47" s="302" t="s">
        <v>232</v>
      </c>
      <c r="D47" s="302" t="s">
        <v>222</v>
      </c>
      <c r="E47" s="303" t="s">
        <v>535</v>
      </c>
    </row>
    <row r="48" spans="1:5">
      <c r="B48" s="304" t="s">
        <v>71</v>
      </c>
      <c r="C48" s="306" t="s">
        <v>225</v>
      </c>
      <c r="D48" s="306" t="s">
        <v>233</v>
      </c>
      <c r="E48" s="27"/>
    </row>
    <row r="49" spans="2:7">
      <c r="B49" s="307" t="s">
        <v>72</v>
      </c>
      <c r="C49" s="309" t="s">
        <v>225</v>
      </c>
      <c r="D49" s="309" t="s">
        <v>233</v>
      </c>
      <c r="E49" s="26"/>
    </row>
    <row r="50" spans="2:7">
      <c r="B50" s="307" t="s">
        <v>44</v>
      </c>
      <c r="C50" s="309" t="s">
        <v>225</v>
      </c>
      <c r="D50" s="309" t="s">
        <v>233</v>
      </c>
      <c r="E50" s="26"/>
    </row>
    <row r="52" spans="2:7">
      <c r="B52" s="451" t="s">
        <v>412</v>
      </c>
      <c r="C52" s="451"/>
      <c r="D52" s="451"/>
      <c r="E52" s="451"/>
    </row>
    <row r="53" spans="2:7" ht="13.5" thickBot="1">
      <c r="B53" s="311"/>
      <c r="C53" s="302" t="s">
        <v>232</v>
      </c>
      <c r="D53" s="302" t="s">
        <v>222</v>
      </c>
      <c r="E53" s="303" t="s">
        <v>535</v>
      </c>
    </row>
    <row r="54" spans="2:7">
      <c r="B54" s="304" t="s">
        <v>241</v>
      </c>
      <c r="C54" s="306" t="s">
        <v>225</v>
      </c>
      <c r="D54" s="306" t="s">
        <v>237</v>
      </c>
      <c r="E54" s="11"/>
    </row>
    <row r="55" spans="2:7">
      <c r="B55" s="307" t="s">
        <v>239</v>
      </c>
      <c r="C55" s="309" t="s">
        <v>225</v>
      </c>
      <c r="D55" s="309" t="s">
        <v>237</v>
      </c>
      <c r="E55" s="11"/>
    </row>
    <row r="56" spans="2:7">
      <c r="B56" s="307" t="s">
        <v>240</v>
      </c>
      <c r="C56" s="309" t="s">
        <v>225</v>
      </c>
      <c r="D56" s="309" t="s">
        <v>237</v>
      </c>
      <c r="E56" s="11"/>
    </row>
    <row r="58" spans="2:7">
      <c r="B58" s="451" t="s">
        <v>415</v>
      </c>
      <c r="C58" s="451"/>
      <c r="D58" s="451"/>
      <c r="E58" s="451"/>
    </row>
    <row r="59" spans="2:7" ht="13.5" thickBot="1">
      <c r="B59" s="311"/>
      <c r="C59" s="302" t="s">
        <v>232</v>
      </c>
      <c r="D59" s="302" t="s">
        <v>222</v>
      </c>
      <c r="E59" s="303" t="s">
        <v>535</v>
      </c>
      <c r="G59" s="51"/>
    </row>
    <row r="60" spans="2:7">
      <c r="B60" s="304" t="s">
        <v>502</v>
      </c>
      <c r="C60" s="306" t="s">
        <v>225</v>
      </c>
      <c r="D60" s="306" t="s">
        <v>225</v>
      </c>
      <c r="E60" s="79"/>
    </row>
    <row r="61" spans="2:7">
      <c r="B61" s="304" t="s">
        <v>246</v>
      </c>
      <c r="C61" s="306" t="s">
        <v>225</v>
      </c>
      <c r="D61" s="306" t="s">
        <v>225</v>
      </c>
      <c r="E61" s="79"/>
    </row>
    <row r="62" spans="2:7" hidden="1">
      <c r="B62" s="448"/>
      <c r="C62" s="449"/>
      <c r="D62" s="449"/>
      <c r="E62" s="450"/>
    </row>
    <row r="63" spans="2:7" ht="13.5" hidden="1" thickBot="1">
      <c r="B63" s="310" t="s">
        <v>93</v>
      </c>
      <c r="C63" s="302" t="s">
        <v>232</v>
      </c>
      <c r="D63" s="310" t="s">
        <v>250</v>
      </c>
      <c r="E63" s="310" t="s">
        <v>424</v>
      </c>
    </row>
    <row r="64" spans="2:7" hidden="1">
      <c r="B64" s="304" t="s">
        <v>6</v>
      </c>
      <c r="C64" s="306" t="s">
        <v>225</v>
      </c>
      <c r="D64" s="79"/>
      <c r="E64" s="76"/>
    </row>
    <row r="65" spans="1:12" hidden="1">
      <c r="B65" s="304" t="s">
        <v>118</v>
      </c>
      <c r="C65" s="306" t="s">
        <v>225</v>
      </c>
      <c r="D65" s="79"/>
      <c r="E65" s="76"/>
    </row>
    <row r="66" spans="1:12" hidden="1">
      <c r="B66" s="448"/>
      <c r="C66" s="449"/>
      <c r="D66" s="449"/>
      <c r="E66" s="450"/>
    </row>
    <row r="67" spans="1:12" ht="13.5" hidden="1" thickBot="1">
      <c r="B67" s="310" t="s">
        <v>251</v>
      </c>
      <c r="C67" s="302" t="s">
        <v>232</v>
      </c>
      <c r="D67" s="302" t="s">
        <v>222</v>
      </c>
      <c r="E67" s="310" t="s">
        <v>75</v>
      </c>
    </row>
    <row r="68" spans="1:12" hidden="1">
      <c r="B68" s="304" t="s">
        <v>177</v>
      </c>
      <c r="C68" s="306" t="s">
        <v>225</v>
      </c>
      <c r="D68" s="306" t="s">
        <v>244</v>
      </c>
      <c r="E68" s="12"/>
    </row>
    <row r="69" spans="1:12">
      <c r="A69" s="320"/>
      <c r="B69" s="320"/>
      <c r="C69" s="320"/>
      <c r="D69" s="320"/>
      <c r="E69" s="320"/>
      <c r="F69" s="320"/>
      <c r="G69" s="320"/>
    </row>
    <row r="70" spans="1:12">
      <c r="B70" s="462" t="s">
        <v>543</v>
      </c>
      <c r="C70" s="462"/>
      <c r="D70" s="462"/>
      <c r="E70" s="462"/>
      <c r="F70" s="462"/>
      <c r="G70" s="462"/>
      <c r="H70" s="462"/>
    </row>
    <row r="71" spans="1:12" ht="13.5" thickBot="1">
      <c r="B71" s="302" t="s">
        <v>76</v>
      </c>
      <c r="C71" s="302" t="s">
        <v>86</v>
      </c>
      <c r="D71" s="302" t="s">
        <v>448</v>
      </c>
      <c r="E71" s="302" t="s">
        <v>55</v>
      </c>
      <c r="F71" s="302" t="s">
        <v>416</v>
      </c>
      <c r="G71" s="310" t="s">
        <v>417</v>
      </c>
      <c r="H71" s="310" t="s">
        <v>418</v>
      </c>
    </row>
    <row r="72" spans="1:12">
      <c r="B72" s="9"/>
      <c r="C72" s="9"/>
      <c r="D72" s="9"/>
      <c r="E72" s="73"/>
      <c r="F72" s="9"/>
      <c r="G72" s="15"/>
      <c r="H72" s="15"/>
      <c r="J72" s="51"/>
      <c r="K72" s="51"/>
      <c r="L72" s="51"/>
    </row>
    <row r="73" spans="1:12">
      <c r="B73" s="9"/>
      <c r="C73" s="9"/>
      <c r="D73" s="9"/>
      <c r="E73" s="73"/>
      <c r="F73" s="9"/>
      <c r="G73" s="15"/>
      <c r="H73" s="15"/>
      <c r="J73" s="51"/>
      <c r="K73" s="51"/>
      <c r="L73" s="51"/>
    </row>
    <row r="74" spans="1:12">
      <c r="B74" s="9"/>
      <c r="C74" s="9"/>
      <c r="D74" s="9"/>
      <c r="E74" s="73"/>
      <c r="F74" s="9"/>
      <c r="G74" s="15"/>
      <c r="H74" s="15"/>
      <c r="J74" s="51"/>
      <c r="K74" s="51"/>
      <c r="L74" s="51"/>
    </row>
    <row r="75" spans="1:12">
      <c r="B75" s="9"/>
      <c r="C75" s="9"/>
      <c r="D75" s="9"/>
      <c r="E75" s="73"/>
      <c r="F75" s="9"/>
      <c r="G75" s="15"/>
      <c r="H75" s="15"/>
      <c r="J75" s="51"/>
      <c r="K75" s="51"/>
      <c r="L75" s="51"/>
    </row>
    <row r="76" spans="1:12">
      <c r="B76" s="9"/>
      <c r="C76" s="9"/>
      <c r="D76" s="9"/>
      <c r="E76" s="73"/>
      <c r="F76" s="9"/>
      <c r="G76" s="15"/>
      <c r="H76" s="15"/>
      <c r="J76" s="51"/>
      <c r="K76" s="51"/>
      <c r="L76" s="51"/>
    </row>
    <row r="77" spans="1:12">
      <c r="B77" s="9"/>
      <c r="C77" s="9"/>
      <c r="D77" s="9"/>
      <c r="E77" s="73"/>
      <c r="F77" s="9"/>
      <c r="G77" s="15"/>
      <c r="H77" s="15"/>
      <c r="J77" s="51"/>
      <c r="K77" s="51"/>
      <c r="L77" s="51"/>
    </row>
    <row r="78" spans="1:12">
      <c r="B78" s="9"/>
      <c r="C78" s="9"/>
      <c r="D78" s="9"/>
      <c r="E78" s="73"/>
      <c r="F78" s="9"/>
      <c r="G78" s="15"/>
      <c r="H78" s="15"/>
      <c r="J78" s="51"/>
      <c r="K78" s="51"/>
      <c r="L78" s="51"/>
    </row>
    <row r="79" spans="1:12">
      <c r="B79" s="9"/>
      <c r="C79" s="9"/>
      <c r="D79" s="9"/>
      <c r="E79" s="73"/>
      <c r="F79" s="9"/>
      <c r="G79" s="15"/>
      <c r="H79" s="15"/>
      <c r="J79" s="51"/>
      <c r="K79" s="51"/>
      <c r="L79" s="51"/>
    </row>
    <row r="80" spans="1:12">
      <c r="B80" s="9"/>
      <c r="C80" s="9"/>
      <c r="D80" s="9"/>
      <c r="E80" s="73"/>
      <c r="F80" s="9"/>
      <c r="G80" s="15"/>
      <c r="H80" s="15"/>
      <c r="J80" s="51"/>
      <c r="K80" s="51"/>
      <c r="L80" s="51"/>
    </row>
    <row r="81" spans="1:12">
      <c r="B81" s="9"/>
      <c r="C81" s="37"/>
      <c r="D81" s="9"/>
      <c r="E81" s="74"/>
      <c r="F81" s="37"/>
      <c r="G81" s="38"/>
      <c r="H81" s="38"/>
      <c r="J81" s="51"/>
      <c r="K81" s="51"/>
      <c r="L81" s="51"/>
    </row>
    <row r="82" spans="1:12">
      <c r="B82" s="9"/>
      <c r="C82" s="37"/>
      <c r="D82" s="9"/>
      <c r="E82" s="74"/>
      <c r="F82" s="37"/>
      <c r="G82" s="38"/>
      <c r="H82" s="38"/>
      <c r="J82" s="51"/>
      <c r="K82" s="51"/>
      <c r="L82" s="51"/>
    </row>
    <row r="83" spans="1:12">
      <c r="B83" s="9"/>
      <c r="C83" s="37"/>
      <c r="D83" s="9"/>
      <c r="E83" s="74"/>
      <c r="F83" s="37"/>
      <c r="G83" s="38"/>
      <c r="H83" s="38"/>
      <c r="J83" s="51"/>
      <c r="K83" s="51"/>
      <c r="L83" s="51"/>
    </row>
    <row r="84" spans="1:12">
      <c r="B84" s="9"/>
      <c r="C84" s="37"/>
      <c r="D84" s="9"/>
      <c r="E84" s="74"/>
      <c r="F84" s="37"/>
      <c r="G84" s="38"/>
      <c r="H84" s="38"/>
      <c r="J84" s="51"/>
      <c r="K84" s="51"/>
      <c r="L84" s="51"/>
    </row>
    <row r="85" spans="1:12">
      <c r="B85" s="9"/>
      <c r="C85" s="37"/>
      <c r="D85" s="9"/>
      <c r="E85" s="74"/>
      <c r="F85" s="37"/>
      <c r="G85" s="38"/>
      <c r="H85" s="38"/>
      <c r="J85" s="51"/>
      <c r="K85" s="51"/>
      <c r="L85" s="51"/>
    </row>
    <row r="86" spans="1:12">
      <c r="B86" s="9"/>
      <c r="C86" s="37"/>
      <c r="D86" s="9"/>
      <c r="E86" s="74"/>
      <c r="F86" s="37"/>
      <c r="G86" s="38"/>
      <c r="H86" s="38"/>
      <c r="J86" s="51"/>
      <c r="K86" s="51"/>
      <c r="L86" s="51"/>
    </row>
    <row r="87" spans="1:12">
      <c r="B87" s="9"/>
      <c r="C87" s="37"/>
      <c r="D87" s="9"/>
      <c r="E87" s="74"/>
      <c r="F87" s="37"/>
      <c r="G87" s="38"/>
      <c r="H87" s="38"/>
      <c r="J87" s="51"/>
      <c r="K87" s="51"/>
      <c r="L87" s="51"/>
    </row>
    <row r="88" spans="1:12">
      <c r="B88" s="9"/>
      <c r="C88" s="37"/>
      <c r="D88" s="9"/>
      <c r="E88" s="74"/>
      <c r="F88" s="37"/>
      <c r="G88" s="38"/>
      <c r="H88" s="38"/>
      <c r="J88" s="51"/>
      <c r="K88" s="51"/>
      <c r="L88" s="51"/>
    </row>
    <row r="89" spans="1:12">
      <c r="B89" s="9"/>
      <c r="C89" s="37"/>
      <c r="D89" s="9"/>
      <c r="E89" s="74"/>
      <c r="F89" s="37"/>
      <c r="G89" s="38"/>
      <c r="H89" s="38"/>
      <c r="J89" s="51"/>
      <c r="K89" s="51"/>
      <c r="L89" s="51"/>
    </row>
    <row r="90" spans="1:12">
      <c r="B90" s="9"/>
      <c r="C90" s="37"/>
      <c r="D90" s="9"/>
      <c r="E90" s="74"/>
      <c r="F90" s="37"/>
      <c r="G90" s="38"/>
      <c r="H90" s="38"/>
      <c r="J90" s="51"/>
      <c r="K90" s="51"/>
      <c r="L90" s="51"/>
    </row>
    <row r="91" spans="1:12">
      <c r="B91" s="9"/>
      <c r="C91" s="37"/>
      <c r="D91" s="9"/>
      <c r="E91" s="74"/>
      <c r="F91" s="37"/>
      <c r="G91" s="38"/>
      <c r="H91" s="38"/>
      <c r="J91" s="51"/>
      <c r="K91" s="51"/>
      <c r="L91" s="51"/>
    </row>
    <row r="92" spans="1:12">
      <c r="F92" s="50"/>
      <c r="G92" s="50"/>
      <c r="H92" s="50"/>
    </row>
    <row r="93" spans="1:12" ht="15" customHeight="1">
      <c r="A93" s="7"/>
      <c r="B93" s="354" t="s">
        <v>382</v>
      </c>
      <c r="C93" s="354"/>
      <c r="D93" s="354"/>
      <c r="E93" s="354"/>
      <c r="F93" s="354"/>
      <c r="G93" s="354"/>
      <c r="H93" s="355"/>
    </row>
    <row r="95" spans="1:12" ht="14.25">
      <c r="B95" s="460" t="s">
        <v>388</v>
      </c>
      <c r="C95" s="461"/>
      <c r="D95" s="461"/>
      <c r="E95" s="313">
        <f>IF(ISERROR('Síntese das emissões'!C296),"-",'Síntese das emissões'!C296)</f>
        <v>0</v>
      </c>
    </row>
    <row r="96" spans="1:12">
      <c r="B96" s="314"/>
      <c r="C96" s="314"/>
      <c r="D96" s="314"/>
      <c r="E96" s="315"/>
    </row>
    <row r="97" spans="2:5" ht="14.25">
      <c r="B97" s="460" t="s">
        <v>387</v>
      </c>
      <c r="C97" s="461"/>
      <c r="D97" s="461"/>
      <c r="E97" s="313" t="str">
        <f>IF(ISERROR('Síntese das emissões'!D296),"-",'Síntese das emissões'!D296)</f>
        <v>-</v>
      </c>
    </row>
    <row r="98" spans="2:5">
      <c r="B98" s="316"/>
      <c r="C98" s="316"/>
      <c r="D98" s="316"/>
      <c r="E98" s="317"/>
    </row>
    <row r="99" spans="2:5" ht="14.25">
      <c r="B99" s="460" t="s">
        <v>454</v>
      </c>
      <c r="C99" s="461"/>
      <c r="D99" s="461"/>
      <c r="E99" s="313" t="str">
        <f>IF(ISERROR('Síntese das emissões'!E296),"-",'Síntese das emissões'!E296)</f>
        <v>-</v>
      </c>
    </row>
  </sheetData>
  <mergeCells count="15">
    <mergeCell ref="B14:H14"/>
    <mergeCell ref="B16:E16"/>
    <mergeCell ref="B23:E23"/>
    <mergeCell ref="B33:E33"/>
    <mergeCell ref="B40:E40"/>
    <mergeCell ref="B46:E46"/>
    <mergeCell ref="B52:E52"/>
    <mergeCell ref="B58:E58"/>
    <mergeCell ref="B62:E62"/>
    <mergeCell ref="B99:D99"/>
    <mergeCell ref="B66:E66"/>
    <mergeCell ref="B70:H70"/>
    <mergeCell ref="B93:H93"/>
    <mergeCell ref="B95:D95"/>
    <mergeCell ref="B97:D97"/>
  </mergeCells>
  <dataValidations count="22">
    <dataValidation type="list" allowBlank="1" showInputMessage="1" showErrorMessage="1" sqref="B64:B65">
      <formula1>lista_soja_operacoesmecanizadas</formula1>
    </dataValidation>
    <dataValidation type="list" allowBlank="1" showInputMessage="1" showErrorMessage="1" errorTitle="Valor inválido" error="Insira um valor existente na lista suspensa" sqref="E26">
      <formula1>lista_teorargila</formula1>
    </dataValidation>
    <dataValidation type="decimal" allowBlank="1" showInputMessage="1" showErrorMessage="1" errorTitle="Valor inválido" error="Insira apenas valores numéricos" sqref="E54:E56 E68 E64:E65">
      <formula1>0</formula1>
      <formula2>9999999999</formula2>
    </dataValidation>
    <dataValidation type="list" allowBlank="1" showInputMessage="1" showErrorMessage="1" errorTitle="Valor inválido" error="Insira apenas valores numéricos" sqref="E25">
      <formula1>lista_classetexturalsolo</formula1>
    </dataValidation>
    <dataValidation type="list" allowBlank="1" showInputMessage="1" showErrorMessage="1" errorTitle="Valor inválido" error="Insira apenas valores numéricos" sqref="E61">
      <formula1>lista_tipoconsumodiesel</formula1>
    </dataValidation>
    <dataValidation type="decimal" allowBlank="1" showInputMessage="1" showErrorMessage="1" sqref="E48:E50 E42:E45">
      <formula1>0</formula1>
      <formula2>999999</formula2>
    </dataValidation>
    <dataValidation type="list" allowBlank="1" showInputMessage="1" showErrorMessage="1" sqref="E18">
      <formula1>lista_uf</formula1>
    </dataValidation>
    <dataValidation type="list" allowBlank="1" showInputMessage="1" showErrorMessage="1" sqref="E21">
      <formula1>lista_bioma</formula1>
    </dataValidation>
    <dataValidation type="decimal" allowBlank="1" showInputMessage="1" showErrorMessage="1" sqref="E30:E31 E35:E39">
      <formula1>0</formula1>
      <formula2>99999999</formula2>
    </dataValidation>
    <dataValidation type="list" allowBlank="1" showInputMessage="1" showErrorMessage="1" sqref="E28">
      <formula1>lista_pastagempecuaria_sistemaatual</formula1>
    </dataValidation>
    <dataValidation type="decimal" allowBlank="1" showInputMessage="1" showErrorMessage="1" errorTitle="Valor inválido" error="Insira apenas valores numéricos" promptTitle="Exemplo" prompt="-22,9" sqref="E19">
      <formula1>-99999999</formula1>
      <formula2>999999999</formula2>
    </dataValidation>
    <dataValidation type="decimal" allowBlank="1" showInputMessage="1" showErrorMessage="1" errorTitle="Valor inválido" error="Insira apenas valores numéricos" promptTitle="Exemplo" prompt="-47,06" sqref="E20">
      <formula1>-9999999999</formula1>
      <formula2>99999999999</formula2>
    </dataValidation>
    <dataValidation type="list" allowBlank="1" showInputMessage="1" showErrorMessage="1" sqref="C72:C91">
      <formula1>lista_pastagempecuaria_sexo</formula1>
    </dataValidation>
    <dataValidation type="whole" operator="greaterThanOrEqual" allowBlank="1" showInputMessage="1" showErrorMessage="1" errorTitle="Valor inválido" error="Insira um número inteiro" sqref="E72:E91">
      <formula1>0</formula1>
    </dataValidation>
    <dataValidation type="list" allowBlank="1" showInputMessage="1" showErrorMessage="1" sqref="F72:F91">
      <formula1>lista_pastagempecuaria_manejodejetos</formula1>
    </dataValidation>
    <dataValidation type="list" allowBlank="1" showInputMessage="1" showErrorMessage="1" sqref="B72:B91">
      <formula1>lista_pastagempecuaria_tipoanimais</formula1>
    </dataValidation>
    <dataValidation type="date" operator="greaterThan" allowBlank="1" showInputMessage="1" showErrorMessage="1" errorTitle="Valor inválido" error="Insira uma data válida" promptTitle="Exemplo" prompt="01/01/2010" sqref="G72:H91">
      <formula1>1/1/1900</formula1>
    </dataValidation>
    <dataValidation type="list" allowBlank="1" showInputMessage="1" showErrorMessage="1" errorTitle="Valor inválido" error="Insira um valor existente na lista suspensa" sqref="E27">
      <formula1>lista_pastagempecuaria_usoanterior</formula1>
    </dataValidation>
    <dataValidation type="list" allowBlank="1" showInputMessage="1" showErrorMessage="1" sqref="D64:D65">
      <formula1>lista_binaria</formula1>
    </dataValidation>
    <dataValidation type="list" allowBlank="1" showInputMessage="1" showErrorMessage="1" sqref="E29">
      <formula1>lista_tempoadocao</formula1>
    </dataValidation>
    <dataValidation type="list" allowBlank="1" showInputMessage="1" showErrorMessage="1" errorTitle="Valor inválido" error="Insira apenas valores numéricos" sqref="E60">
      <formula1>lista_tipocombustivel</formula1>
    </dataValidation>
    <dataValidation type="list" operator="greaterThanOrEqual" allowBlank="1" showInputMessage="1" showErrorMessage="1" sqref="D72:D91">
      <formula1>lista_idade_rebanho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ConsumoEnergia">
    <tabColor theme="9"/>
  </sheetPr>
  <dimension ref="A14:U24"/>
  <sheetViews>
    <sheetView showGridLines="0" showRowColHeaders="0" zoomScaleNormal="100" workbookViewId="0"/>
  </sheetViews>
  <sheetFormatPr defaultColWidth="9.140625" defaultRowHeight="12.75"/>
  <cols>
    <col min="1" max="1" width="3.7109375" style="20" customWidth="1"/>
    <col min="2" max="4" width="10.7109375" style="20" customWidth="1"/>
    <col min="5" max="5" width="8.140625" style="20" customWidth="1"/>
    <col min="6" max="7" width="9.140625" style="20"/>
    <col min="8" max="8" width="9.140625" style="20" customWidth="1"/>
    <col min="9" max="10" width="9.140625" style="20"/>
    <col min="11" max="11" width="9.140625" style="20" customWidth="1"/>
    <col min="12" max="14" width="9.140625" style="20"/>
    <col min="15" max="17" width="10.140625" style="20" bestFit="1" customWidth="1"/>
    <col min="18" max="16384" width="9.140625" style="20"/>
  </cols>
  <sheetData>
    <row r="14" spans="1:21">
      <c r="A14" s="21"/>
      <c r="B14" s="465" t="s">
        <v>166</v>
      </c>
      <c r="C14" s="465"/>
      <c r="D14" s="465"/>
      <c r="E14" s="465"/>
      <c r="F14" s="465"/>
      <c r="G14" s="465"/>
      <c r="H14" s="465"/>
      <c r="I14" s="465"/>
      <c r="J14" s="465"/>
      <c r="K14" s="465"/>
      <c r="L14" s="465"/>
      <c r="M14" s="465"/>
      <c r="N14" s="465"/>
      <c r="O14" s="465"/>
      <c r="P14" s="465"/>
      <c r="Q14" s="465"/>
      <c r="R14" s="465"/>
      <c r="S14" s="465"/>
      <c r="T14" s="465"/>
      <c r="U14" s="466"/>
    </row>
    <row r="16" spans="1:21">
      <c r="B16" s="464" t="s">
        <v>464</v>
      </c>
      <c r="C16" s="464"/>
      <c r="D16" s="464"/>
      <c r="E16" s="464"/>
      <c r="F16" s="464"/>
      <c r="G16" s="464"/>
      <c r="H16" s="464"/>
    </row>
    <row r="17" spans="2:17" ht="12.75" customHeight="1">
      <c r="B17" s="467" t="s">
        <v>461</v>
      </c>
      <c r="C17" s="467"/>
      <c r="D17" s="467"/>
      <c r="E17" s="467"/>
    </row>
    <row r="18" spans="2:17">
      <c r="B18" s="467" t="s">
        <v>462</v>
      </c>
      <c r="C18" s="467"/>
      <c r="D18" s="467" t="s">
        <v>463</v>
      </c>
      <c r="E18" s="467"/>
      <c r="G18" s="51"/>
      <c r="J18" s="50"/>
    </row>
    <row r="19" spans="2:17">
      <c r="B19" s="468" t="str">
        <f>IF(OR(ISERROR(MIN(soja_dataplantio,milho_dataplantio,algodao_dataplantio,trigo_dataplantio,feijao_dataplantio,feijao_dataplantio,arroz_dataplantio,cana_datainiciociclo,pecuariapastagem_dataentrada)),MIN(soja_dataplantio,milho_dataplantio,algodao_dataplantio,trigo_dataplantio,feijao_dataplantio,feijao_dataplantio,arroz_dataplantio,cana_datainiciociclo,pecuariapastagem_dataentrada)=0),"-",MIN(soja_dataplantio,milho_dataplantio,algodao_dataplantio,trigo_dataplantio,feijao_dataplantio,feijao_dataplantio,arroz_dataplantio,cana_datainiciociclo,pecuariapastagem_dataentrada))</f>
        <v>-</v>
      </c>
      <c r="C19" s="468"/>
      <c r="D19" s="468" t="str">
        <f>IF(OR(ISERROR(MAX(soja_datacolheita,milho_datacolheita,algodao_datacolheita,trigo_datacolheita,feijao_datacolheita,feijao_datacolheita,arroz_datacolheita,cana_datacolheita,pecuariapastagem_datasaida)),MAX(soja_datacolheita,milho_datacolheita,algodao_datacolheita,trigo_datacolheita,feijao_datacolheita,feijao_datacolheita,arroz_datacolheita,pecuariapastagem_datasaida,cana_datacolheita)=0),"-",MAX(soja_datacolheita,milho_datacolheita,algodao_datacolheita,trigo_datacolheita,feijao_datacolheita,feijao_datacolheita,arroz_datacolheita,cana_datacolheita,pecuariapastagem_datasaida))</f>
        <v>-</v>
      </c>
      <c r="E19" s="468"/>
      <c r="K19" s="44"/>
    </row>
    <row r="20" spans="2:17">
      <c r="K20" s="58"/>
    </row>
    <row r="21" spans="2:17">
      <c r="B21" s="463" t="s">
        <v>465</v>
      </c>
      <c r="C21" s="463"/>
      <c r="D21" s="463"/>
      <c r="E21" s="463"/>
      <c r="P21" s="50"/>
      <c r="Q21" s="50"/>
    </row>
    <row r="22" spans="2:17" ht="12.75" customHeight="1">
      <c r="B22" s="171"/>
      <c r="C22" s="298" t="s">
        <v>232</v>
      </c>
      <c r="D22" s="298" t="s">
        <v>222</v>
      </c>
      <c r="E22" s="298" t="s">
        <v>535</v>
      </c>
    </row>
    <row r="23" spans="2:17">
      <c r="B23" s="298" t="s">
        <v>466</v>
      </c>
      <c r="C23" s="299" t="s">
        <v>225</v>
      </c>
      <c r="D23" s="299" t="s">
        <v>467</v>
      </c>
      <c r="E23" s="323"/>
      <c r="O23" s="50"/>
    </row>
    <row r="24" spans="2:17">
      <c r="B24" s="298" t="s">
        <v>470</v>
      </c>
      <c r="C24" s="299" t="s">
        <v>225</v>
      </c>
      <c r="D24" s="299" t="s">
        <v>225</v>
      </c>
      <c r="E24" s="300"/>
    </row>
  </sheetData>
  <mergeCells count="8">
    <mergeCell ref="B21:E21"/>
    <mergeCell ref="B16:H16"/>
    <mergeCell ref="B14:U14"/>
    <mergeCell ref="D18:E18"/>
    <mergeCell ref="D19:E19"/>
    <mergeCell ref="B19:C19"/>
    <mergeCell ref="B18:C18"/>
    <mergeCell ref="B17:E17"/>
  </mergeCells>
  <dataValidations count="2">
    <dataValidation type="decimal" allowBlank="1" showInputMessage="1" showErrorMessage="1" sqref="E23">
      <formula1>-999999999</formula1>
      <formula2>999999999</formula2>
    </dataValidation>
    <dataValidation type="list" allowBlank="1" showInputMessage="1" showErrorMessage="1" sqref="E24">
      <formula1>lista_compraenergiaeletrica_anobase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pListasDeFormularios"/>
  <dimension ref="A1:AB29"/>
  <sheetViews>
    <sheetView topLeftCell="N1" zoomScaleNormal="100" workbookViewId="0">
      <selection activeCell="U3" sqref="U3:U6"/>
    </sheetView>
  </sheetViews>
  <sheetFormatPr defaultColWidth="9.140625" defaultRowHeight="12"/>
  <cols>
    <col min="1" max="1" width="17.42578125" style="39" bestFit="1" customWidth="1"/>
    <col min="2" max="2" width="21.140625" style="39" bestFit="1" customWidth="1"/>
    <col min="3" max="3" width="11.7109375" style="39" bestFit="1" customWidth="1"/>
    <col min="4" max="4" width="18.42578125" style="39" bestFit="1" customWidth="1"/>
    <col min="5" max="5" width="12.7109375" style="39" bestFit="1" customWidth="1"/>
    <col min="6" max="6" width="21" style="39" bestFit="1" customWidth="1"/>
    <col min="7" max="7" width="17.42578125" style="39" bestFit="1" customWidth="1"/>
    <col min="8" max="8" width="30" style="39" bestFit="1" customWidth="1"/>
    <col min="9" max="9" width="7.85546875" style="39" bestFit="1" customWidth="1"/>
    <col min="10" max="10" width="14.140625" style="39" bestFit="1" customWidth="1"/>
    <col min="11" max="11" width="9.140625" style="39"/>
    <col min="12" max="12" width="31.140625" style="39" bestFit="1" customWidth="1"/>
    <col min="13" max="13" width="39.42578125" style="39" bestFit="1" customWidth="1"/>
    <col min="14" max="14" width="32.140625" style="39" bestFit="1" customWidth="1"/>
    <col min="15" max="15" width="9.140625" style="39"/>
    <col min="16" max="17" width="30" style="39" bestFit="1" customWidth="1"/>
    <col min="18" max="18" width="15" style="39" bestFit="1" customWidth="1"/>
    <col min="19" max="19" width="35.28515625" style="39" bestFit="1" customWidth="1"/>
    <col min="20" max="20" width="6.5703125" style="39" bestFit="1" customWidth="1"/>
    <col min="21" max="21" width="17.7109375" style="39" bestFit="1" customWidth="1"/>
    <col min="22" max="22" width="9.140625" style="39" customWidth="1"/>
    <col min="23" max="23" width="17.85546875" style="39" bestFit="1" customWidth="1"/>
    <col min="24" max="24" width="21" style="39" bestFit="1" customWidth="1"/>
    <col min="25" max="25" width="9.85546875" style="39" bestFit="1" customWidth="1"/>
    <col min="26" max="26" width="11.5703125" style="39" bestFit="1" customWidth="1"/>
    <col min="27" max="27" width="9.140625" style="39"/>
    <col min="28" max="28" width="22.85546875" style="39" bestFit="1" customWidth="1"/>
    <col min="29" max="16384" width="9.140625" style="39"/>
  </cols>
  <sheetData>
    <row r="1" spans="1:28" ht="15" customHeight="1">
      <c r="A1" s="472" t="s">
        <v>7</v>
      </c>
      <c r="B1" s="472"/>
      <c r="C1" s="472"/>
      <c r="D1" s="472"/>
      <c r="E1" s="472"/>
      <c r="F1" s="472"/>
      <c r="G1" s="472"/>
      <c r="H1" s="472"/>
      <c r="I1" s="472"/>
      <c r="J1" s="70"/>
      <c r="L1" s="469" t="s">
        <v>24</v>
      </c>
      <c r="M1" s="470"/>
      <c r="N1" s="471"/>
      <c r="P1" s="472" t="s">
        <v>25</v>
      </c>
      <c r="Q1" s="472"/>
      <c r="R1" s="472"/>
      <c r="S1" s="472"/>
      <c r="T1" s="472"/>
      <c r="U1" s="472"/>
      <c r="W1" s="472" t="s">
        <v>54</v>
      </c>
      <c r="X1" s="472"/>
      <c r="Y1" s="472"/>
      <c r="Z1" s="472"/>
      <c r="AB1" s="40" t="s">
        <v>471</v>
      </c>
    </row>
    <row r="2" spans="1:28">
      <c r="A2" s="42" t="s">
        <v>46</v>
      </c>
      <c r="B2" s="42" t="s">
        <v>3</v>
      </c>
      <c r="C2" s="42" t="s">
        <v>8</v>
      </c>
      <c r="D2" s="42" t="s">
        <v>9</v>
      </c>
      <c r="E2" s="42" t="s">
        <v>103</v>
      </c>
      <c r="F2" s="42" t="s">
        <v>176</v>
      </c>
      <c r="G2" s="42" t="s">
        <v>48</v>
      </c>
      <c r="H2" s="42" t="s">
        <v>61</v>
      </c>
      <c r="I2" s="42" t="s">
        <v>421</v>
      </c>
      <c r="J2" s="42" t="s">
        <v>501</v>
      </c>
      <c r="L2" s="41" t="s">
        <v>399</v>
      </c>
      <c r="M2" s="41" t="s">
        <v>394</v>
      </c>
      <c r="N2" s="42" t="s">
        <v>179</v>
      </c>
      <c r="P2" s="42" t="s">
        <v>48</v>
      </c>
      <c r="Q2" s="42" t="s">
        <v>420</v>
      </c>
      <c r="R2" s="42" t="s">
        <v>26</v>
      </c>
      <c r="S2" s="42" t="s">
        <v>27</v>
      </c>
      <c r="T2" s="42" t="s">
        <v>86</v>
      </c>
      <c r="U2" s="42" t="s">
        <v>509</v>
      </c>
      <c r="W2" s="41" t="s">
        <v>48</v>
      </c>
      <c r="X2" s="41" t="s">
        <v>419</v>
      </c>
      <c r="Y2" s="41" t="s">
        <v>175</v>
      </c>
      <c r="Z2" s="41" t="s">
        <v>468</v>
      </c>
      <c r="AB2" s="41" t="s">
        <v>472</v>
      </c>
    </row>
    <row r="3" spans="1:28">
      <c r="A3" s="39" t="s">
        <v>261</v>
      </c>
      <c r="B3" s="39" t="s">
        <v>219</v>
      </c>
      <c r="C3" s="39" t="s">
        <v>174</v>
      </c>
      <c r="D3" s="39" t="s">
        <v>18</v>
      </c>
      <c r="E3" s="39" t="s">
        <v>143</v>
      </c>
      <c r="F3" s="39" t="s">
        <v>93</v>
      </c>
      <c r="G3" s="39" t="s">
        <v>22</v>
      </c>
      <c r="H3" s="53" t="s">
        <v>22</v>
      </c>
      <c r="I3" s="39" t="s">
        <v>30</v>
      </c>
      <c r="J3" s="39" t="s">
        <v>499</v>
      </c>
      <c r="L3" s="54" t="s">
        <v>335</v>
      </c>
      <c r="M3" s="39" t="s">
        <v>397</v>
      </c>
      <c r="N3" s="53" t="s">
        <v>404</v>
      </c>
      <c r="P3" s="39" t="s">
        <v>22</v>
      </c>
      <c r="Q3" s="39" t="s">
        <v>63</v>
      </c>
      <c r="R3" s="39" t="s">
        <v>78</v>
      </c>
      <c r="S3" s="39" t="s">
        <v>74</v>
      </c>
      <c r="T3" s="39" t="s">
        <v>88</v>
      </c>
      <c r="U3" s="39" t="s">
        <v>506</v>
      </c>
      <c r="W3" s="39" t="s">
        <v>62</v>
      </c>
      <c r="X3" s="39" t="s">
        <v>347</v>
      </c>
      <c r="Y3" s="39" t="s">
        <v>408</v>
      </c>
      <c r="Z3" s="57" t="str">
        <f>IF(cana_ciclocultura="12 meses",DATE(YEAR(cana_datacolheita),MONTH(cana_datacolheita)-12,DAY(cana_datacolheita)),IF(cana_ciclocultura="18 meses",DATE(YEAR(cana_datacolheita),MONTH(cana_datacolheita)-18,DAY(cana_datacolheita)),""))</f>
        <v/>
      </c>
      <c r="AB3" s="39">
        <v>2006</v>
      </c>
    </row>
    <row r="4" spans="1:28">
      <c r="A4" s="39" t="s">
        <v>262</v>
      </c>
      <c r="B4" s="39" t="s">
        <v>220</v>
      </c>
      <c r="C4" s="39" t="s">
        <v>10</v>
      </c>
      <c r="D4" s="39" t="s">
        <v>19</v>
      </c>
      <c r="E4" s="39" t="s">
        <v>144</v>
      </c>
      <c r="F4" s="39" t="s">
        <v>177</v>
      </c>
      <c r="G4" s="39" t="s">
        <v>23</v>
      </c>
      <c r="H4" s="53" t="s">
        <v>63</v>
      </c>
      <c r="I4" s="39" t="s">
        <v>29</v>
      </c>
      <c r="J4" s="39" t="s">
        <v>489</v>
      </c>
      <c r="L4" s="39" t="s">
        <v>334</v>
      </c>
      <c r="M4" s="39" t="s">
        <v>35</v>
      </c>
      <c r="N4" s="53" t="s">
        <v>349</v>
      </c>
      <c r="P4" s="39" t="s">
        <v>23</v>
      </c>
      <c r="Q4" s="39" t="s">
        <v>73</v>
      </c>
      <c r="R4" s="39" t="s">
        <v>28</v>
      </c>
      <c r="S4" s="39" t="s">
        <v>38</v>
      </c>
      <c r="T4" s="39" t="s">
        <v>87</v>
      </c>
      <c r="U4" s="39" t="s">
        <v>505</v>
      </c>
      <c r="W4" s="39" t="s">
        <v>22</v>
      </c>
      <c r="X4" s="39" t="s">
        <v>346</v>
      </c>
      <c r="Y4" s="39" t="s">
        <v>409</v>
      </c>
      <c r="AB4" s="39">
        <v>2007</v>
      </c>
    </row>
    <row r="5" spans="1:28">
      <c r="A5" s="39" t="s">
        <v>264</v>
      </c>
      <c r="C5" s="39" t="s">
        <v>11</v>
      </c>
      <c r="E5" s="39" t="s">
        <v>147</v>
      </c>
      <c r="G5" s="39" t="s">
        <v>21</v>
      </c>
      <c r="H5" s="53" t="s">
        <v>73</v>
      </c>
      <c r="I5" s="53"/>
      <c r="J5" s="39" t="s">
        <v>490</v>
      </c>
      <c r="L5" s="39" t="s">
        <v>333</v>
      </c>
      <c r="M5" s="39" t="s">
        <v>36</v>
      </c>
      <c r="N5" s="53"/>
      <c r="P5" s="39" t="s">
        <v>68</v>
      </c>
      <c r="Q5" s="39" t="s">
        <v>68</v>
      </c>
      <c r="R5" s="39" t="s">
        <v>89</v>
      </c>
      <c r="S5" s="39" t="s">
        <v>43</v>
      </c>
      <c r="U5" s="39" t="s">
        <v>507</v>
      </c>
      <c r="W5" s="39" t="s">
        <v>23</v>
      </c>
      <c r="AB5" s="39">
        <v>2008</v>
      </c>
    </row>
    <row r="6" spans="1:28">
      <c r="A6" s="39" t="s">
        <v>263</v>
      </c>
      <c r="C6" s="39" t="s">
        <v>12</v>
      </c>
      <c r="G6" s="39" t="s">
        <v>20</v>
      </c>
      <c r="H6" s="55" t="s">
        <v>21</v>
      </c>
      <c r="I6" s="55"/>
      <c r="J6" s="53" t="s">
        <v>491</v>
      </c>
      <c r="L6" s="39" t="s">
        <v>332</v>
      </c>
      <c r="M6" s="39" t="s">
        <v>31</v>
      </c>
      <c r="N6" s="55"/>
      <c r="P6" s="39" t="s">
        <v>21</v>
      </c>
      <c r="Q6" s="39" t="s">
        <v>70</v>
      </c>
      <c r="R6" s="39" t="s">
        <v>83</v>
      </c>
      <c r="S6" s="39" t="s">
        <v>39</v>
      </c>
      <c r="U6" s="39" t="s">
        <v>508</v>
      </c>
      <c r="W6" s="39" t="s">
        <v>20</v>
      </c>
      <c r="X6" s="55"/>
      <c r="Y6" s="55"/>
      <c r="AB6" s="39">
        <v>2009</v>
      </c>
    </row>
    <row r="7" spans="1:28">
      <c r="A7" s="39" t="s">
        <v>265</v>
      </c>
      <c r="C7" s="39" t="s">
        <v>13</v>
      </c>
      <c r="J7" s="39" t="s">
        <v>492</v>
      </c>
      <c r="L7" s="39" t="s">
        <v>331</v>
      </c>
      <c r="M7" s="39" t="s">
        <v>32</v>
      </c>
      <c r="P7" s="39" t="s">
        <v>20</v>
      </c>
      <c r="Q7" s="39" t="s">
        <v>69</v>
      </c>
      <c r="R7" s="39" t="s">
        <v>77</v>
      </c>
      <c r="S7" s="39" t="s">
        <v>40</v>
      </c>
      <c r="AB7" s="39">
        <v>2010</v>
      </c>
    </row>
    <row r="8" spans="1:28">
      <c r="A8" s="39" t="s">
        <v>266</v>
      </c>
      <c r="L8" s="39" t="s">
        <v>84</v>
      </c>
      <c r="M8" s="39" t="s">
        <v>33</v>
      </c>
      <c r="R8" s="39" t="s">
        <v>82</v>
      </c>
      <c r="S8" s="39" t="s">
        <v>41</v>
      </c>
      <c r="AB8" s="39">
        <v>2011</v>
      </c>
    </row>
    <row r="9" spans="1:28">
      <c r="A9" s="39" t="s">
        <v>267</v>
      </c>
      <c r="D9" s="56"/>
      <c r="M9" s="39" t="s">
        <v>85</v>
      </c>
      <c r="R9" s="39" t="s">
        <v>92</v>
      </c>
      <c r="S9" s="39" t="s">
        <v>44</v>
      </c>
      <c r="AB9" s="39">
        <v>2012</v>
      </c>
    </row>
    <row r="10" spans="1:28">
      <c r="A10" s="39" t="s">
        <v>268</v>
      </c>
      <c r="M10" s="39" t="s">
        <v>34</v>
      </c>
      <c r="R10" s="39" t="s">
        <v>315</v>
      </c>
      <c r="S10" s="39" t="s">
        <v>42</v>
      </c>
      <c r="AB10" s="39">
        <v>2013</v>
      </c>
    </row>
    <row r="11" spans="1:28">
      <c r="A11" s="39" t="s">
        <v>269</v>
      </c>
      <c r="R11" s="39" t="s">
        <v>309</v>
      </c>
      <c r="S11" s="39" t="s">
        <v>449</v>
      </c>
      <c r="Y11" s="60"/>
      <c r="AB11" s="39">
        <v>2014</v>
      </c>
    </row>
    <row r="12" spans="1:28">
      <c r="A12" s="39" t="s">
        <v>270</v>
      </c>
      <c r="R12" s="39" t="s">
        <v>81</v>
      </c>
    </row>
    <row r="13" spans="1:28">
      <c r="A13" s="39" t="s">
        <v>311</v>
      </c>
      <c r="R13" s="39" t="s">
        <v>79</v>
      </c>
      <c r="Y13" s="57"/>
    </row>
    <row r="14" spans="1:28">
      <c r="A14" s="39" t="s">
        <v>272</v>
      </c>
      <c r="B14" s="53"/>
      <c r="R14" s="39" t="s">
        <v>90</v>
      </c>
    </row>
    <row r="15" spans="1:28">
      <c r="A15" s="39" t="s">
        <v>271</v>
      </c>
      <c r="B15" s="53"/>
      <c r="R15" s="39" t="s">
        <v>80</v>
      </c>
    </row>
    <row r="16" spans="1:28">
      <c r="A16" s="39" t="s">
        <v>273</v>
      </c>
      <c r="B16" s="53"/>
      <c r="G16" s="55"/>
      <c r="R16" s="39" t="s">
        <v>37</v>
      </c>
      <c r="Y16" s="57"/>
    </row>
    <row r="17" spans="1:7">
      <c r="A17" s="39" t="s">
        <v>274</v>
      </c>
    </row>
    <row r="18" spans="1:7">
      <c r="A18" s="39" t="s">
        <v>277</v>
      </c>
      <c r="C18" s="57"/>
      <c r="G18" s="55"/>
    </row>
    <row r="19" spans="1:7">
      <c r="A19" s="39" t="s">
        <v>275</v>
      </c>
      <c r="C19" s="57"/>
    </row>
    <row r="20" spans="1:7">
      <c r="A20" s="39" t="s">
        <v>276</v>
      </c>
      <c r="C20" s="57"/>
    </row>
    <row r="21" spans="1:7">
      <c r="A21" s="39" t="s">
        <v>278</v>
      </c>
      <c r="C21" s="57"/>
    </row>
    <row r="22" spans="1:7">
      <c r="A22" s="39" t="s">
        <v>279</v>
      </c>
    </row>
    <row r="23" spans="1:7">
      <c r="A23" s="39" t="s">
        <v>282</v>
      </c>
    </row>
    <row r="24" spans="1:7">
      <c r="A24" s="39" t="s">
        <v>280</v>
      </c>
    </row>
    <row r="25" spans="1:7">
      <c r="A25" s="39" t="s">
        <v>281</v>
      </c>
    </row>
    <row r="26" spans="1:7">
      <c r="A26" s="39" t="s">
        <v>283</v>
      </c>
    </row>
    <row r="27" spans="1:7">
      <c r="A27" s="39" t="s">
        <v>285</v>
      </c>
    </row>
    <row r="28" spans="1:7">
      <c r="A28" s="39" t="s">
        <v>284</v>
      </c>
    </row>
    <row r="29" spans="1:7">
      <c r="A29" s="39" t="s">
        <v>286</v>
      </c>
    </row>
  </sheetData>
  <dataConsolidate topLabels="1">
    <dataRefs count="1">
      <dataRef ref="H22:H29" sheet="Soja"/>
    </dataRefs>
  </dataConsolidate>
  <mergeCells count="4">
    <mergeCell ref="L1:N1"/>
    <mergeCell ref="A1:I1"/>
    <mergeCell ref="W1:Z1"/>
    <mergeCell ref="P1:U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709</vt:i4>
      </vt:variant>
    </vt:vector>
  </HeadingPairs>
  <TitlesOfParts>
    <vt:vector size="725" baseType="lpstr">
      <vt:lpstr>Início</vt:lpstr>
      <vt:lpstr>Introdução</vt:lpstr>
      <vt:lpstr>Instruções de uso</vt:lpstr>
      <vt:lpstr>Síntese das emissões</vt:lpstr>
      <vt:lpstr>Fatores de emissão</vt:lpstr>
      <vt:lpstr>Fatores variáveis</vt:lpstr>
      <vt:lpstr>Equipe</vt:lpstr>
      <vt:lpstr>Soja</vt:lpstr>
      <vt:lpstr>Milho</vt:lpstr>
      <vt:lpstr>Algodão</vt:lpstr>
      <vt:lpstr>Trigo</vt:lpstr>
      <vt:lpstr>Arroz</vt:lpstr>
      <vt:lpstr>Feijão</vt:lpstr>
      <vt:lpstr>Cana-de-açúcar</vt:lpstr>
      <vt:lpstr>Pecuária e pastagem</vt:lpstr>
      <vt:lpstr>Compra de energia elétrica</vt:lpstr>
      <vt:lpstr>Introdução!_ftnref1</vt:lpstr>
      <vt:lpstr>algodao_adubacaonitrogenadasintetica</vt:lpstr>
      <vt:lpstr>algodao_adubacaoorganicacompostoorganico</vt:lpstr>
      <vt:lpstr>algodao_adubacaoorganicaestercoavicola</vt:lpstr>
      <vt:lpstr>algodao_adubacaoorganicaestercogeral</vt:lpstr>
      <vt:lpstr>algodao_adubacaoorganicaoutros</vt:lpstr>
      <vt:lpstr>algodao_adubacaoverdegraminea</vt:lpstr>
      <vt:lpstr>algodao_adubacaoverdeleguminosa</vt:lpstr>
      <vt:lpstr>algodao_adubacaoverdeoutros</vt:lpstr>
      <vt:lpstr>algodao_aplicacaofungicida</vt:lpstr>
      <vt:lpstr>algodao_aplicacaoherbicida</vt:lpstr>
      <vt:lpstr>algodao_aplicacaoinseticida</vt:lpstr>
      <vt:lpstr>algodao_aplicacaoureia</vt:lpstr>
      <vt:lpstr>algodao_areacultivada</vt:lpstr>
      <vt:lpstr>algodao_areaqueimaresiduos</vt:lpstr>
      <vt:lpstr>algodao_bioma</vt:lpstr>
      <vt:lpstr>algodao_calcariocalcitico</vt:lpstr>
      <vt:lpstr>algodao_calcariodolomitico</vt:lpstr>
      <vt:lpstr>algodao_classetexturalsolo</vt:lpstr>
      <vt:lpstr>algodao_consumodiesel</vt:lpstr>
      <vt:lpstr>algodao_cultivosoloorganico</vt:lpstr>
      <vt:lpstr>algodao_datacolheita</vt:lpstr>
      <vt:lpstr>algodao_dataplantio</vt:lpstr>
      <vt:lpstr>algodao_estado</vt:lpstr>
      <vt:lpstr>algodao_latitude</vt:lpstr>
      <vt:lpstr>algodao_longitude</vt:lpstr>
      <vt:lpstr>algodao_manejosolo</vt:lpstr>
      <vt:lpstr>algodao_menucombustivelconsumido</vt:lpstr>
      <vt:lpstr>algodao_menuoperacoesmecanizadas</vt:lpstr>
      <vt:lpstr>algodao_nadubosintetico</vt:lpstr>
      <vt:lpstr>algodao_operacaomecanizada_adubacaodecobertura</vt:lpstr>
      <vt:lpstr>algodao_operacaomecanizada_adubacaodecobertura_repeticoes</vt:lpstr>
      <vt:lpstr>algodao_operacaomecanizada_aplicacaodedefensivos</vt:lpstr>
      <vt:lpstr>algodao_operacaomecanizada_aplicacaodedefensivos_repeticoes</vt:lpstr>
      <vt:lpstr>algodao_operacaomecanizada_calagem</vt:lpstr>
      <vt:lpstr>algodao_operacaomecanizada_calagem_repeticoes</vt:lpstr>
      <vt:lpstr>algodao_operacaomecanizada_colheita</vt:lpstr>
      <vt:lpstr>algodao_operacaomecanizada_colheita_repeticoes</vt:lpstr>
      <vt:lpstr>algodao_operacaomecanizada_plantiocomadubacao</vt:lpstr>
      <vt:lpstr>algodao_operacaomecanizada_plantiocomadubacao_repeticoes</vt:lpstr>
      <vt:lpstr>algodao_operacaomecanizada_preparodesolo</vt:lpstr>
      <vt:lpstr>algodao_operacaomecanizada_preparodesolo_repeticoes</vt:lpstr>
      <vt:lpstr>algodao_produtividademedia</vt:lpstr>
      <vt:lpstr>algodao_tempoadocaosistema</vt:lpstr>
      <vt:lpstr>algodao_teorargilasolo</vt:lpstr>
      <vt:lpstr>algodao_tipocombustivel</vt:lpstr>
      <vt:lpstr>algodao_tipoconsumocombustivel</vt:lpstr>
      <vt:lpstr>algodao_usoanteriorterra</vt:lpstr>
      <vt:lpstr>arroz_adubacaonitrogenadasintetica</vt:lpstr>
      <vt:lpstr>arroz_adubacaoverdegraminea</vt:lpstr>
      <vt:lpstr>arroz_adubacaoverdeleguminosa</vt:lpstr>
      <vt:lpstr>arroz_adubacaoverdeoutros</vt:lpstr>
      <vt:lpstr>arroz_aplicacaofungicida</vt:lpstr>
      <vt:lpstr>arroz_aplicacaoherbicida</vt:lpstr>
      <vt:lpstr>arroz_aplicacaoinseticida</vt:lpstr>
      <vt:lpstr>arroz_aplicacaoureia</vt:lpstr>
      <vt:lpstr>arroz_areacultivada</vt:lpstr>
      <vt:lpstr>arroz_areaqueimaresiduos</vt:lpstr>
      <vt:lpstr>arroz_bioma</vt:lpstr>
      <vt:lpstr>arroz_calcariocalcitico</vt:lpstr>
      <vt:lpstr>arroz_calcariodolomitico</vt:lpstr>
      <vt:lpstr>arroz_classetexturalsolo</vt:lpstr>
      <vt:lpstr>arroz_consumodiesel</vt:lpstr>
      <vt:lpstr>arroz_cultivosoloorganico</vt:lpstr>
      <vt:lpstr>arroz_datacolheita</vt:lpstr>
      <vt:lpstr>arroz_dataplantio</vt:lpstr>
      <vt:lpstr>arroz_estado</vt:lpstr>
      <vt:lpstr>arroz_latitude</vt:lpstr>
      <vt:lpstr>arroz_longitude</vt:lpstr>
      <vt:lpstr>arroz_manejosolo</vt:lpstr>
      <vt:lpstr>arroz_materiaorganicafermentada</vt:lpstr>
      <vt:lpstr>arroz_menucombustivelconsumido</vt:lpstr>
      <vt:lpstr>arroz_menuoperacoesmecanizadas</vt:lpstr>
      <vt:lpstr>arroz_nadubosintetico</vt:lpstr>
      <vt:lpstr>arroz_operacaomecanizada_adubacaodecobertura</vt:lpstr>
      <vt:lpstr>arroz_operacaomecanizada_adubacaodecobertura_repeticoes</vt:lpstr>
      <vt:lpstr>arroz_operacaomecanizada_aplicacaodeherbicidapreemergente</vt:lpstr>
      <vt:lpstr>arroz_operacaomecanizada_aplicacaodeherbicidapreemergente_repeticoes</vt:lpstr>
      <vt:lpstr>arroz_operacaomecanizada_calagem</vt:lpstr>
      <vt:lpstr>arroz_operacaomecanizada_calagem_repeticoes</vt:lpstr>
      <vt:lpstr>arroz_operacaomecanizada_colheita</vt:lpstr>
      <vt:lpstr>arroz_operacaomecanizada_colheita_repeticoes</vt:lpstr>
      <vt:lpstr>arroz_operacaomecanizada_gradagemaradora</vt:lpstr>
      <vt:lpstr>arroz_operacaomecanizada_gradagemaradora_repeticoes</vt:lpstr>
      <vt:lpstr>arroz_operacaomecanizada_gradagemniveladora</vt:lpstr>
      <vt:lpstr>arroz_operacaomecanizada_gradagemniveladora_repeticoes</vt:lpstr>
      <vt:lpstr>arroz_operacaomecanizada_plantio</vt:lpstr>
      <vt:lpstr>arroz_operacaomecanizada_plantio_repeticoes</vt:lpstr>
      <vt:lpstr>arroz_operacaomecanizada_reformadetaipas</vt:lpstr>
      <vt:lpstr>arroz_operacaomecanizada_reformadetaipas_repeticoes</vt:lpstr>
      <vt:lpstr>arroz_operacaomecanizada_transporteinterno</vt:lpstr>
      <vt:lpstr>arroz_operacaomecanizada_transporteinterno_repeticoes</vt:lpstr>
      <vt:lpstr>arroz_preparosolo</vt:lpstr>
      <vt:lpstr>arroz_produtividademedia</vt:lpstr>
      <vt:lpstr>arroz_quantidadeaduboorganico</vt:lpstr>
      <vt:lpstr>arroz_regimehidrico</vt:lpstr>
      <vt:lpstr>arroz_tempoadocaosistema</vt:lpstr>
      <vt:lpstr>arroz_teorargilasolo</vt:lpstr>
      <vt:lpstr>arroz_tipocombustivel</vt:lpstr>
      <vt:lpstr>arroz_tipoconsumocombustivel</vt:lpstr>
      <vt:lpstr>arroz_usoanteriorterra</vt:lpstr>
      <vt:lpstr>c_aduboorganicogeral_teornitrogenio</vt:lpstr>
      <vt:lpstr>c_co2_calcariocalcitico</vt:lpstr>
      <vt:lpstr>c_co2_calcariodolomitico</vt:lpstr>
      <vt:lpstr>c_co2_ureia</vt:lpstr>
      <vt:lpstr>c_co2eq_cultivosolosorganicos</vt:lpstr>
      <vt:lpstr>c_compostoorganico_teornitrogenio</vt:lpstr>
      <vt:lpstr>c_emissao_biodiesel</vt:lpstr>
      <vt:lpstr>c_emissaoexterna_fungicida</vt:lpstr>
      <vt:lpstr>c_emissaoexterna_herbicida</vt:lpstr>
      <vt:lpstr>c_emissaoexterna_inseticida</vt:lpstr>
      <vt:lpstr>c_estercoavicola_teornitrogenio</vt:lpstr>
      <vt:lpstr>c_estercogeral_teornitrogenio</vt:lpstr>
      <vt:lpstr>c_horamaquina_algodao_adubacaodecobertura</vt:lpstr>
      <vt:lpstr>c_horamaquina_algodao_aplicacaodedefensivos</vt:lpstr>
      <vt:lpstr>c_horamaquina_algodao_calagem</vt:lpstr>
      <vt:lpstr>c_horamaquina_algodao_colheita</vt:lpstr>
      <vt:lpstr>c_horamaquina_algodao_plantiocomadubacao</vt:lpstr>
      <vt:lpstr>c_horamaquina_algodao_preparodesolo</vt:lpstr>
      <vt:lpstr>c_horamaquina_arroz_adubacaodecobertura</vt:lpstr>
      <vt:lpstr>c_horamaquina_arroz_aplicacaoherbicidapreemergente</vt:lpstr>
      <vt:lpstr>c_horamaquina_arroz_calagem</vt:lpstr>
      <vt:lpstr>c_horamaquina_arroz_colheita</vt:lpstr>
      <vt:lpstr>c_horamaquina_arroz_gradagemaradora</vt:lpstr>
      <vt:lpstr>c_horamaquina_arroz_gradagemniveladora</vt:lpstr>
      <vt:lpstr>c_horamaquina_arroz_plantio</vt:lpstr>
      <vt:lpstr>c_horamaquina_arroz_reformadetaipas</vt:lpstr>
      <vt:lpstr>c_horamaquina_arroz_transporteinterno</vt:lpstr>
      <vt:lpstr>c_horamaquina_canadeacucar_aracao</vt:lpstr>
      <vt:lpstr>c_horamaquina_canadeacucar_calagem</vt:lpstr>
      <vt:lpstr>c_horamaquina_canadeacucar_cobricao</vt:lpstr>
      <vt:lpstr>c_horamaquina_canadeacucar_dessecacao</vt:lpstr>
      <vt:lpstr>c_horamaquina_canadeacucar_gradagem</vt:lpstr>
      <vt:lpstr>c_horamaquina_canadeacucar_gradagemniveladora</vt:lpstr>
      <vt:lpstr>c_horamaquina_canadeacucar_pulverizacao</vt:lpstr>
      <vt:lpstr>c_horamaquina_canadeacucar_sulcacao</vt:lpstr>
      <vt:lpstr>c_horamaquina_canadeacucar_terraceamento</vt:lpstr>
      <vt:lpstr>c_horamaquina_feijao_adubacaodecobertura</vt:lpstr>
      <vt:lpstr>c_horamaquina_feijao_aplicacaofungicida</vt:lpstr>
      <vt:lpstr>c_horamaquina_feijao_aplicacaoherbicidaposemergente</vt:lpstr>
      <vt:lpstr>c_horamaquina_feijao_aracaoconvencional</vt:lpstr>
      <vt:lpstr>c_horamaquina_feijao_calagem</vt:lpstr>
      <vt:lpstr>c_horamaquina_feijao_gradagemniveladora</vt:lpstr>
      <vt:lpstr>c_horamaquina_feijao_plantio</vt:lpstr>
      <vt:lpstr>c_horamaquina_feijao_transporteinternodaproducao</vt:lpstr>
      <vt:lpstr>c_horamaquina_feijao_transporteinternodeinsumosparaplantio</vt:lpstr>
      <vt:lpstr>c_horamaquina_feijao_trilhacombatedeiradecereais</vt:lpstr>
      <vt:lpstr>c_horamaquina_milho_adubacaodecobertura</vt:lpstr>
      <vt:lpstr>c_horamaquina_milho_aplicacaoherbicida</vt:lpstr>
      <vt:lpstr>c_horamaquina_milho_aplicacaoinseticida</vt:lpstr>
      <vt:lpstr>c_horamaquina_milho_calagem</vt:lpstr>
      <vt:lpstr>c_horamaquina_milho_colheita</vt:lpstr>
      <vt:lpstr>c_horamaquina_milho_gradagemaradora</vt:lpstr>
      <vt:lpstr>c_horamaquina_milho_gradagemniveladora</vt:lpstr>
      <vt:lpstr>c_horamaquina_milho_plantiocomadubacao</vt:lpstr>
      <vt:lpstr>c_horamaquina_milho_transporteinternoparacolheita</vt:lpstr>
      <vt:lpstr>c_horamaquina_milho_transporteinternoparaplantio</vt:lpstr>
      <vt:lpstr>c_horamaquina_pastagem_adubacaodecobertura</vt:lpstr>
      <vt:lpstr>c_horamaquina_pastagem_calagem</vt:lpstr>
      <vt:lpstr>c_horamaquina_soja_aplicacaofungicida</vt:lpstr>
      <vt:lpstr>c_horamaquina_soja_aplicacaoherbicidaposemergente</vt:lpstr>
      <vt:lpstr>c_horamaquina_soja_aplicacaoinseticida</vt:lpstr>
      <vt:lpstr>c_horamaquina_soja_calagem</vt:lpstr>
      <vt:lpstr>c_horamaquina_soja_dessecacaopreemergente</vt:lpstr>
      <vt:lpstr>c_horamaquina_soja_limpezaarea</vt:lpstr>
      <vt:lpstr>c_horamaquina_soja_plantiocomadubacao</vt:lpstr>
      <vt:lpstr>c_horamaquina_trigo_aplicacaofungicida</vt:lpstr>
      <vt:lpstr>c_horamaquina_trigo_aplicacaoherbicida</vt:lpstr>
      <vt:lpstr>c_horamaquina_trigo_aplicacaoinseticida</vt:lpstr>
      <vt:lpstr>c_horamaquina_trigo_colheita</vt:lpstr>
      <vt:lpstr>c_horamaquina_trigo_plantio</vt:lpstr>
      <vt:lpstr>c_mecanizacao_ch4</vt:lpstr>
      <vt:lpstr>c_mecanizacao_co2</vt:lpstr>
      <vt:lpstr>c_mecanizacao_n2o</vt:lpstr>
      <vt:lpstr>c_n2o_aduboorganicogeral</vt:lpstr>
      <vt:lpstr>c_n2o_compostoorganico</vt:lpstr>
      <vt:lpstr>c_n2o_estercoavicola</vt:lpstr>
      <vt:lpstr>c_n2o_estercogeral</vt:lpstr>
      <vt:lpstr>c_n2o_fertilizantesintetico</vt:lpstr>
      <vt:lpstr>c_n2o_nitrogenioureia</vt:lpstr>
      <vt:lpstr>c_n2o_perdanitrogenio</vt:lpstr>
      <vt:lpstr>c_n2o_tortafiltro</vt:lpstr>
      <vt:lpstr>c_n2o_vinhaca</vt:lpstr>
      <vt:lpstr>c_queimaresiduoalgodao_ch4</vt:lpstr>
      <vt:lpstr>c_queimaresiduoalgodao_co</vt:lpstr>
      <vt:lpstr>c_queimaresiduoalgodao_n2o</vt:lpstr>
      <vt:lpstr>c_queimaresiduoalgodao_nox</vt:lpstr>
      <vt:lpstr>c_queimaresiduoarroz_ch4</vt:lpstr>
      <vt:lpstr>c_queimaresiduoarroz_co</vt:lpstr>
      <vt:lpstr>c_queimaresiduoarroz_n2o</vt:lpstr>
      <vt:lpstr>c_queimaresiduoarroz_nox</vt:lpstr>
      <vt:lpstr>c_queimaresiduocana_ch4</vt:lpstr>
      <vt:lpstr>c_queimaresiduocana_co</vt:lpstr>
      <vt:lpstr>c_queimaresiduocana_n2o</vt:lpstr>
      <vt:lpstr>c_queimaresiduocana_nox</vt:lpstr>
      <vt:lpstr>c_queimaresiduofeijao_ch4</vt:lpstr>
      <vt:lpstr>c_queimaresiduofeijao_co</vt:lpstr>
      <vt:lpstr>c_queimaresiduofeijao_n2o</vt:lpstr>
      <vt:lpstr>c_queimaresiduofeijao_nox</vt:lpstr>
      <vt:lpstr>c_queimaresiduomilho_ch4</vt:lpstr>
      <vt:lpstr>c_queimaresiduomilho_co</vt:lpstr>
      <vt:lpstr>c_queimaresiduomilho_n2o</vt:lpstr>
      <vt:lpstr>c_queimaresiduomilho_nox</vt:lpstr>
      <vt:lpstr>c_queimaresiduosoja_ch4</vt:lpstr>
      <vt:lpstr>c_queimaresiduosoja_co</vt:lpstr>
      <vt:lpstr>c_queimaresiduosoja_n2o</vt:lpstr>
      <vt:lpstr>c_queimaresiduosoja_nox</vt:lpstr>
      <vt:lpstr>c_queimaresiduotrigo_ch4</vt:lpstr>
      <vt:lpstr>c_queimaresiduotrigo_co</vt:lpstr>
      <vt:lpstr>c_queimaresiduotrigo_n2o</vt:lpstr>
      <vt:lpstr>c_queimaresiduotrigo_nox</vt:lpstr>
      <vt:lpstr>c_residuoadubacaoverdegraminea_n2o</vt:lpstr>
      <vt:lpstr>c_residuoadubacaoverdeleguminosa_n2o</vt:lpstr>
      <vt:lpstr>c_residuoadubacaoverdeoutros_n2o</vt:lpstr>
      <vt:lpstr>c_residuoalgodao_n2o</vt:lpstr>
      <vt:lpstr>c_residuoarroz_n2o</vt:lpstr>
      <vt:lpstr>c_residuocanacomqueima_n2o</vt:lpstr>
      <vt:lpstr>c_residuocanasemqueima_n2o</vt:lpstr>
      <vt:lpstr>c_residuofeijao_n2o</vt:lpstr>
      <vt:lpstr>c_residuomilho_n2o</vt:lpstr>
      <vt:lpstr>c_residuosoja_n2o</vt:lpstr>
      <vt:lpstr>c_residuotrigo_n2o</vt:lpstr>
      <vt:lpstr>c_tortafiltro_teornitrogenio</vt:lpstr>
      <vt:lpstr>c_vinhaca_teornitrogenio</vt:lpstr>
      <vt:lpstr>cad_anosafra</vt:lpstr>
      <vt:lpstr>cad_contatoresponsavel</vt:lpstr>
      <vt:lpstr>cad_datapreenchimento</vt:lpstr>
      <vt:lpstr>cad_enderecoorganizacao</vt:lpstr>
      <vt:lpstr>cad_nomeorganizacao</vt:lpstr>
      <vt:lpstr>cad_nomeresponsavel</vt:lpstr>
      <vt:lpstr>cana_adubacaonitrogenadasintetica</vt:lpstr>
      <vt:lpstr>cana_adubacaoorganicacompostoorganico</vt:lpstr>
      <vt:lpstr>cana_adubacaoorganicaestercoavicola</vt:lpstr>
      <vt:lpstr>cana_adubacaoorganicaestercogeral</vt:lpstr>
      <vt:lpstr>cana_adubacaoorganicaoutros</vt:lpstr>
      <vt:lpstr>cana_adubacaoorganicatortafiltro</vt:lpstr>
      <vt:lpstr>cana_adubacaoorganicavinhaca</vt:lpstr>
      <vt:lpstr>cana_adubacaoverdegraminea</vt:lpstr>
      <vt:lpstr>cana_adubacaoverdeleguminosa</vt:lpstr>
      <vt:lpstr>cana_adubacaoverdeoutros</vt:lpstr>
      <vt:lpstr>cana_aplicacaofungicida</vt:lpstr>
      <vt:lpstr>cana_aplicacaoherbicida</vt:lpstr>
      <vt:lpstr>cana_aplicacaoinseticida</vt:lpstr>
      <vt:lpstr>cana_aplicacaoureia</vt:lpstr>
      <vt:lpstr>cana_areaaplicacaotortadefiltro</vt:lpstr>
      <vt:lpstr>cana_areacultivada</vt:lpstr>
      <vt:lpstr>cana_areaqueimaresiduos</vt:lpstr>
      <vt:lpstr>cana_bioma</vt:lpstr>
      <vt:lpstr>cana_calcariocalcitico</vt:lpstr>
      <vt:lpstr>cana_calcariodolomitico</vt:lpstr>
      <vt:lpstr>cana_ciclocultura</vt:lpstr>
      <vt:lpstr>cana_classetexturalsolo</vt:lpstr>
      <vt:lpstr>cana_consumodiesel</vt:lpstr>
      <vt:lpstr>cana_cultivosoloorganico</vt:lpstr>
      <vt:lpstr>cana_datacolheita</vt:lpstr>
      <vt:lpstr>cana_datainiciociclo</vt:lpstr>
      <vt:lpstr>cana_estado</vt:lpstr>
      <vt:lpstr>cana_latitude</vt:lpstr>
      <vt:lpstr>cana_longitude</vt:lpstr>
      <vt:lpstr>cana_manejosolo</vt:lpstr>
      <vt:lpstr>cana_menucombustivelconsumido</vt:lpstr>
      <vt:lpstr>cana_menuoperacoesmecanizadas</vt:lpstr>
      <vt:lpstr>cana_nadubosintetico</vt:lpstr>
      <vt:lpstr>cana_operacaomecanizada_aracao</vt:lpstr>
      <vt:lpstr>cana_operacaomecanizada_aracao_repeticoes</vt:lpstr>
      <vt:lpstr>cana_operacaomecanizada_calagem</vt:lpstr>
      <vt:lpstr>cana_operacaomecanizada_calagem_repeticoes</vt:lpstr>
      <vt:lpstr>cana_operacaomecanizada_cobricao</vt:lpstr>
      <vt:lpstr>cana_operacaomecanizada_cobricao_repeticoes</vt:lpstr>
      <vt:lpstr>cana_operacaomecanizada_dessecacao</vt:lpstr>
      <vt:lpstr>cana_operacaomecanizada_dessecacao_repeticoes</vt:lpstr>
      <vt:lpstr>cana_operacaomecanizada_gradagem</vt:lpstr>
      <vt:lpstr>cana_operacaomecanizada_gradagem_repeticoes</vt:lpstr>
      <vt:lpstr>cana_operacaomecanizada_gradagemniveladora</vt:lpstr>
      <vt:lpstr>cana_operacaomecanizada_gradagemniveladora_repeticoes</vt:lpstr>
      <vt:lpstr>cana_operacaomecanizada_pulverizacao</vt:lpstr>
      <vt:lpstr>cana_operacaomecanizada_pulverizacao_repeticoes</vt:lpstr>
      <vt:lpstr>cana_operacaomecanizada_sulcacao</vt:lpstr>
      <vt:lpstr>cana_operacaomecanizada_sulcacao_repeticoes</vt:lpstr>
      <vt:lpstr>cana_operacaomecanizada_terraceamento</vt:lpstr>
      <vt:lpstr>cana_operacaomecanizada_terraceamento_repeticoes</vt:lpstr>
      <vt:lpstr>cana_produtividademedia</vt:lpstr>
      <vt:lpstr>cana_tempoadocaosistema</vt:lpstr>
      <vt:lpstr>cana_teorargilasolo</vt:lpstr>
      <vt:lpstr>cana_tipocombustivel</vt:lpstr>
      <vt:lpstr>cana_tipoconsumocombustivel</vt:lpstr>
      <vt:lpstr>cana_usoanteriorterra</vt:lpstr>
      <vt:lpstr>compraenergia_anobase</vt:lpstr>
      <vt:lpstr>compraenergia_consumototal</vt:lpstr>
      <vt:lpstr>consumoenergia_datafinal</vt:lpstr>
      <vt:lpstr>consumoenergia_datainicial</vt:lpstr>
      <vt:lpstr>conversor_co_co2</vt:lpstr>
      <vt:lpstr>conversor_no2_n2o</vt:lpstr>
      <vt:lpstr>energiaeletrica_consumoanual</vt:lpstr>
      <vt:lpstr>energiaeletrica_consumomensalmedio</vt:lpstr>
      <vt:lpstr>feijao_adubacaonitrogenadasintetica</vt:lpstr>
      <vt:lpstr>feijao_adubacaoorganicacompostoorganico</vt:lpstr>
      <vt:lpstr>feijao_adubacaoorganicaestercoavicola</vt:lpstr>
      <vt:lpstr>feijao_adubacaoorganicaestercogeral</vt:lpstr>
      <vt:lpstr>feijao_adubacaoorganicaoutros</vt:lpstr>
      <vt:lpstr>feijao_adubacaoverdegraminea</vt:lpstr>
      <vt:lpstr>feijao_adubacaoverdeleguminosa</vt:lpstr>
      <vt:lpstr>feijao_adubacaoverdeoutros</vt:lpstr>
      <vt:lpstr>feijao_aplicacaofungicida</vt:lpstr>
      <vt:lpstr>feijao_aplicacaoherbicida</vt:lpstr>
      <vt:lpstr>feijao_aplicacaoinseticida</vt:lpstr>
      <vt:lpstr>feijao_aplicacaoureia</vt:lpstr>
      <vt:lpstr>feijao_areacultivada</vt:lpstr>
      <vt:lpstr>feijao_areaqueimaresiduos</vt:lpstr>
      <vt:lpstr>feijao_bioma</vt:lpstr>
      <vt:lpstr>feijao_calcariocalcitico</vt:lpstr>
      <vt:lpstr>feijao_calcariodolomitico</vt:lpstr>
      <vt:lpstr>feijao_classetexturalsolo</vt:lpstr>
      <vt:lpstr>feijao_consumodiesel</vt:lpstr>
      <vt:lpstr>feijao_cultivosoloorganico</vt:lpstr>
      <vt:lpstr>feijao_datacolheita</vt:lpstr>
      <vt:lpstr>feijao_dataplantio</vt:lpstr>
      <vt:lpstr>feijao_estado</vt:lpstr>
      <vt:lpstr>feijao_latitude</vt:lpstr>
      <vt:lpstr>feijao_longitude</vt:lpstr>
      <vt:lpstr>feijao_manejosolo</vt:lpstr>
      <vt:lpstr>feijao_menucombustivelconsumido</vt:lpstr>
      <vt:lpstr>feijao_menuoperacoesmecanizadas</vt:lpstr>
      <vt:lpstr>feijao_nadubosintetico</vt:lpstr>
      <vt:lpstr>feijao_operacaomecanizada_adubacaodecobertura</vt:lpstr>
      <vt:lpstr>feijao_operacaomecanizada_adubacaodecobertura_repeticoes</vt:lpstr>
      <vt:lpstr>feijao_operacaomecanizada_aplicacaodefungicida</vt:lpstr>
      <vt:lpstr>feijao_operacaomecanizada_aplicacaodefungicida_repeticoes</vt:lpstr>
      <vt:lpstr>feijao_operacaomecanizada_aplicacaoherbicidaposemergente</vt:lpstr>
      <vt:lpstr>feijao_operacaomecanizada_aplicacaoherbicidaposemergente_repeticoes</vt:lpstr>
      <vt:lpstr>feijao_operacaomecanizada_aracao</vt:lpstr>
      <vt:lpstr>feijao_operacaomecanizada_aracao_repeticoes</vt:lpstr>
      <vt:lpstr>feijao_operacaomecanizada_calagem</vt:lpstr>
      <vt:lpstr>feijao_operacaomecanizada_calagem_repeticoes</vt:lpstr>
      <vt:lpstr>feijao_operacaomecanizada_gradagemniveladora</vt:lpstr>
      <vt:lpstr>feijao_operacaomecanizada_gradagemniveladora_repeticoes</vt:lpstr>
      <vt:lpstr>feijao_operacaomecanizada_plantio</vt:lpstr>
      <vt:lpstr>feijao_operacaomecanizada_plantio_repeticoes</vt:lpstr>
      <vt:lpstr>feijao_operacaomecanizada_transporteinternodaproducao</vt:lpstr>
      <vt:lpstr>feijao_operacaomecanizada_transporteinternodaproducao_repeticoes</vt:lpstr>
      <vt:lpstr>feijao_operacaomecanizada_transporteinternodeinsumosparaplantio</vt:lpstr>
      <vt:lpstr>feijao_operacaomecanizada_transporteinternodeinsumosparaplantio_repeticoes</vt:lpstr>
      <vt:lpstr>feijao_operacaomecanizada_trilhacombatedeiradecereais</vt:lpstr>
      <vt:lpstr>feijao_operacaomecanizada_trilhacombatedeiradecereais_repeticoes</vt:lpstr>
      <vt:lpstr>feijao_produtividademedia</vt:lpstr>
      <vt:lpstr>feijao_tempoadocaosistema</vt:lpstr>
      <vt:lpstr>feijao_teorargilasolo</vt:lpstr>
      <vt:lpstr>feijao_tipocombustivel</vt:lpstr>
      <vt:lpstr>feijao_tipoconsumocombustivel</vt:lpstr>
      <vt:lpstr>feijao_usoanteriorterra</vt:lpstr>
      <vt:lpstr>lista_arroz_materiaorganica_quantidade</vt:lpstr>
      <vt:lpstr>lista_arroz_preparosolo</vt:lpstr>
      <vt:lpstr>lista_arroz_terrasbaixas_regimechuvas</vt:lpstr>
      <vt:lpstr>lista_binaria</vt:lpstr>
      <vt:lpstr>lista_bioma</vt:lpstr>
      <vt:lpstr>lista_cana_ciclo</vt:lpstr>
      <vt:lpstr>lista_cana_sistemamanejoatual</vt:lpstr>
      <vt:lpstr>lista_cana_usoanteriorterra</vt:lpstr>
      <vt:lpstr>lista_classetexturalsolo</vt:lpstr>
      <vt:lpstr>lista_compraenergiaeletrica_anobase</vt:lpstr>
      <vt:lpstr>lista_idade_rebanho</vt:lpstr>
      <vt:lpstr>lista_pastagempecuaria_manejodejetos</vt:lpstr>
      <vt:lpstr>lista_pastagempecuaria_sexo</vt:lpstr>
      <vt:lpstr>lista_pastagempecuaria_sistemaatual</vt:lpstr>
      <vt:lpstr>lista_pastagempecuaria_tipoanimais</vt:lpstr>
      <vt:lpstr>lista_pastagempecuaria_usoanterior</vt:lpstr>
      <vt:lpstr>lista_tempoadocao</vt:lpstr>
      <vt:lpstr>lista_teorargila</vt:lpstr>
      <vt:lpstr>lista_tipocombustivel</vt:lpstr>
      <vt:lpstr>lista_tipoconsumodiesel</vt:lpstr>
      <vt:lpstr>lista_uf</vt:lpstr>
      <vt:lpstr>lista_usoanteriorterra</vt:lpstr>
      <vt:lpstr>lista_usoatualterra</vt:lpstr>
      <vt:lpstr>milho_adubacaonitrogenadasintetica</vt:lpstr>
      <vt:lpstr>milho_adubacaoorganicacompostoorganico</vt:lpstr>
      <vt:lpstr>milho_adubacaoorganicaestercoavicola</vt:lpstr>
      <vt:lpstr>milho_adubacaoorganicaestercogeral</vt:lpstr>
      <vt:lpstr>milho_adubacaoorganicaoutros</vt:lpstr>
      <vt:lpstr>milho_adubacaoverdegraminea</vt:lpstr>
      <vt:lpstr>milho_adubacaoverdeleguminosa</vt:lpstr>
      <vt:lpstr>milho_adubacaoverdeoutros</vt:lpstr>
      <vt:lpstr>milho_aplicacaofungicida</vt:lpstr>
      <vt:lpstr>milho_aplicacaoherbicida</vt:lpstr>
      <vt:lpstr>milho_aplicacaoinseticida</vt:lpstr>
      <vt:lpstr>milho_aplicacaoureia</vt:lpstr>
      <vt:lpstr>milho_areacultivada</vt:lpstr>
      <vt:lpstr>milho_areaqueimaresiduos</vt:lpstr>
      <vt:lpstr>milho_bioma</vt:lpstr>
      <vt:lpstr>milho_calcariocalcitico</vt:lpstr>
      <vt:lpstr>milho_calcariodolomitico</vt:lpstr>
      <vt:lpstr>milho_classetexturalsolo</vt:lpstr>
      <vt:lpstr>milho_consumodiesel</vt:lpstr>
      <vt:lpstr>milho_cultivosoloorganico</vt:lpstr>
      <vt:lpstr>milho_datacolheita</vt:lpstr>
      <vt:lpstr>milho_dataplantio</vt:lpstr>
      <vt:lpstr>milho_emissaoporarea</vt:lpstr>
      <vt:lpstr>milho_emissaoporproducao</vt:lpstr>
      <vt:lpstr>milho_emissaototal</vt:lpstr>
      <vt:lpstr>milho_estado</vt:lpstr>
      <vt:lpstr>milho_latitude</vt:lpstr>
      <vt:lpstr>milho_longitude</vt:lpstr>
      <vt:lpstr>milho_manejosolo</vt:lpstr>
      <vt:lpstr>milho_menucombustivelconsumido</vt:lpstr>
      <vt:lpstr>milho_menuoperacoesmecanizadas</vt:lpstr>
      <vt:lpstr>milho_nadubosintetico</vt:lpstr>
      <vt:lpstr>milho_operacaomecanizada_adubacaodecobertura</vt:lpstr>
      <vt:lpstr>milho_operacaomecanizada_adubacaodecobertura_repeticoes</vt:lpstr>
      <vt:lpstr>milho_operacaomecanizada_aplicacaoherbicida</vt:lpstr>
      <vt:lpstr>milho_operacaomecanizada_aplicacaoherbicida_repeticoes</vt:lpstr>
      <vt:lpstr>milho_operacaomecanizada_aplicacaoinseticida</vt:lpstr>
      <vt:lpstr>milho_operacaomecanizada_aplicacaoinseticida_repeticoes</vt:lpstr>
      <vt:lpstr>milho_operacaomecanizada_calagem</vt:lpstr>
      <vt:lpstr>milho_operacaomecanizada_calagem_repeticoes</vt:lpstr>
      <vt:lpstr>milho_operacaomecanizada_colheita</vt:lpstr>
      <vt:lpstr>milho_operacaomecanizada_colheita_repeticoes</vt:lpstr>
      <vt:lpstr>milho_operacaomecanizada_gradagemaradora</vt:lpstr>
      <vt:lpstr>milho_operacaomecanizada_gradagemaradora_repeticoes</vt:lpstr>
      <vt:lpstr>milho_operacaomecanizada_gradagemniveladora</vt:lpstr>
      <vt:lpstr>milho_operacaomecanizada_gradagemniveladora_repeticoes</vt:lpstr>
      <vt:lpstr>milho_operacaomecanizada_plantiocomadubacao</vt:lpstr>
      <vt:lpstr>milho_operacaomecanizada_plantiocomadubacao_repeticoes</vt:lpstr>
      <vt:lpstr>milho_operacaomecanizada_transporteinternoparacolheita</vt:lpstr>
      <vt:lpstr>milho_operacaomecanizada_transporteinternoparacolheita_repeticoes</vt:lpstr>
      <vt:lpstr>milho_operacaomecanizada_transporteinternoparaplantio</vt:lpstr>
      <vt:lpstr>milho_operacaomecanizada_transporteinternoparaplantio_repeticoes</vt:lpstr>
      <vt:lpstr>milho_produtividademedia</vt:lpstr>
      <vt:lpstr>milho_tempoadocaosistema</vt:lpstr>
      <vt:lpstr>milho_teorargilasolo</vt:lpstr>
      <vt:lpstr>milho_tipocombustivel</vt:lpstr>
      <vt:lpstr>milho_tipoconsumocombustivel</vt:lpstr>
      <vt:lpstr>milho_usoanteriorterra</vt:lpstr>
      <vt:lpstr>pag_ch4</vt:lpstr>
      <vt:lpstr>pag_co2</vt:lpstr>
      <vt:lpstr>pag_n2o</vt:lpstr>
      <vt:lpstr>pecuariapastagem_adubacaonitrogenadasintetica</vt:lpstr>
      <vt:lpstr>pecuariapastagem_adubacaoorganicacompostoorganico</vt:lpstr>
      <vt:lpstr>pecuariapastagem_adubacaoorganicaestercoavicola</vt:lpstr>
      <vt:lpstr>pecuariapastagem_adubacaoorganicaestercogeral</vt:lpstr>
      <vt:lpstr>pecuariapastagem_adubacaoorganicaoutros</vt:lpstr>
      <vt:lpstr>pecuariapastagem_adubacaoverdegraminea</vt:lpstr>
      <vt:lpstr>pecuariapastagem_adubacaoverdeleguminosa</vt:lpstr>
      <vt:lpstr>pecuariapastagem_adubacaoverdeoutros</vt:lpstr>
      <vt:lpstr>pecuariapastagem_aplicacaofungicida</vt:lpstr>
      <vt:lpstr>pecuariapastagem_aplicacaoherbicida</vt:lpstr>
      <vt:lpstr>pecuariapastagem_aplicacaoinseticida</vt:lpstr>
      <vt:lpstr>pecuariapastagem_aplicacaoureia</vt:lpstr>
      <vt:lpstr>pecuariapastagem_areacultivada</vt:lpstr>
      <vt:lpstr>pecuariapastagem_bioma</vt:lpstr>
      <vt:lpstr>pecuariapastagem_calcariocalcitico</vt:lpstr>
      <vt:lpstr>pecuariapastagem_calcariodolomitico</vt:lpstr>
      <vt:lpstr>pecuariapastagem_classetexturalsolo</vt:lpstr>
      <vt:lpstr>pecuariapastagem_consumodiesel</vt:lpstr>
      <vt:lpstr>pecuariapastagem_cultivosoloorganico</vt:lpstr>
      <vt:lpstr>pecuariapastagem_dataentrada</vt:lpstr>
      <vt:lpstr>pecuariapastagem_dataentradaanimais1</vt:lpstr>
      <vt:lpstr>pecuariapastagem_dataentradaanimais10</vt:lpstr>
      <vt:lpstr>pecuariapastagem_dataentradaanimais11</vt:lpstr>
      <vt:lpstr>pecuariapastagem_dataentradaanimais12</vt:lpstr>
      <vt:lpstr>pecuariapastagem_dataentradaanimais13</vt:lpstr>
      <vt:lpstr>pecuariapastagem_dataentradaanimais14</vt:lpstr>
      <vt:lpstr>pecuariapastagem_dataentradaanimais15</vt:lpstr>
      <vt:lpstr>pecuariapastagem_dataentradaanimais16</vt:lpstr>
      <vt:lpstr>pecuariapastagem_dataentradaanimais17</vt:lpstr>
      <vt:lpstr>pecuariapastagem_dataentradaanimais18</vt:lpstr>
      <vt:lpstr>pecuariapastagem_dataentradaanimais19</vt:lpstr>
      <vt:lpstr>pecuariapastagem_dataentradaanimais2</vt:lpstr>
      <vt:lpstr>pecuariapastagem_dataentradaanimais20</vt:lpstr>
      <vt:lpstr>pecuariapastagem_dataentradaanimais3</vt:lpstr>
      <vt:lpstr>pecuariapastagem_dataentradaanimais4</vt:lpstr>
      <vt:lpstr>pecuariapastagem_dataentradaanimais5</vt:lpstr>
      <vt:lpstr>pecuariapastagem_dataentradaanimais6</vt:lpstr>
      <vt:lpstr>pecuariapastagem_dataentradaanimais7</vt:lpstr>
      <vt:lpstr>pecuariapastagem_dataentradaanimais8</vt:lpstr>
      <vt:lpstr>pecuariapastagem_dataentradaanimais9</vt:lpstr>
      <vt:lpstr>pecuariapastagem_datasaida</vt:lpstr>
      <vt:lpstr>pecuariapastagem_datasaidaanimais1</vt:lpstr>
      <vt:lpstr>pecuariapastagem_datasaidaanimais10</vt:lpstr>
      <vt:lpstr>pecuariapastagem_datasaidaanimais11</vt:lpstr>
      <vt:lpstr>pecuariapastagem_datasaidaanimais12</vt:lpstr>
      <vt:lpstr>pecuariapastagem_datasaidaanimais13</vt:lpstr>
      <vt:lpstr>pecuariapastagem_datasaidaanimais14</vt:lpstr>
      <vt:lpstr>pecuariapastagem_datasaidaanimais15</vt:lpstr>
      <vt:lpstr>pecuariapastagem_datasaidaanimais16</vt:lpstr>
      <vt:lpstr>pecuariapastagem_datasaidaanimais17</vt:lpstr>
      <vt:lpstr>pecuariapastagem_datasaidaanimais18</vt:lpstr>
      <vt:lpstr>pecuariapastagem_datasaidaanimais19</vt:lpstr>
      <vt:lpstr>pecuariapastagem_datasaidaanimais2</vt:lpstr>
      <vt:lpstr>pecuariapastagem_datasaidaanimais20</vt:lpstr>
      <vt:lpstr>pecuariapastagem_datasaidaanimais3</vt:lpstr>
      <vt:lpstr>pecuariapastagem_datasaidaanimais4</vt:lpstr>
      <vt:lpstr>pecuariapastagem_datasaidaanimais5</vt:lpstr>
      <vt:lpstr>pecuariapastagem_datasaidaanimais6</vt:lpstr>
      <vt:lpstr>pecuariapastagem_datasaidaanimais7</vt:lpstr>
      <vt:lpstr>pecuariapastagem_datasaidaanimais8</vt:lpstr>
      <vt:lpstr>pecuariapastagem_datasaidaanimais9</vt:lpstr>
      <vt:lpstr>pecuariapastagem_estado</vt:lpstr>
      <vt:lpstr>pecuariapastagem_idaderebanho1</vt:lpstr>
      <vt:lpstr>pecuariapastagem_idaderebanho10</vt:lpstr>
      <vt:lpstr>pecuariapastagem_idaderebanho11</vt:lpstr>
      <vt:lpstr>pecuariapastagem_idaderebanho12</vt:lpstr>
      <vt:lpstr>pecuariapastagem_idaderebanho13</vt:lpstr>
      <vt:lpstr>pecuariapastagem_idaderebanho14</vt:lpstr>
      <vt:lpstr>pecuariapastagem_idaderebanho15</vt:lpstr>
      <vt:lpstr>pecuariapastagem_idaderebanho16</vt:lpstr>
      <vt:lpstr>pecuariapastagem_idaderebanho17</vt:lpstr>
      <vt:lpstr>pecuariapastagem_idaderebanho18</vt:lpstr>
      <vt:lpstr>pecuariapastagem_idaderebanho19</vt:lpstr>
      <vt:lpstr>pecuariapastagem_idaderebanho2</vt:lpstr>
      <vt:lpstr>pecuariapastagem_idaderebanho20</vt:lpstr>
      <vt:lpstr>pecuariapastagem_idaderebanho3</vt:lpstr>
      <vt:lpstr>pecuariapastagem_idaderebanho4</vt:lpstr>
      <vt:lpstr>pecuariapastagem_idaderebanho5</vt:lpstr>
      <vt:lpstr>pecuariapastagem_idaderebanho6</vt:lpstr>
      <vt:lpstr>pecuariapastagem_idaderebanho7</vt:lpstr>
      <vt:lpstr>pecuariapastagem_idaderebanho8</vt:lpstr>
      <vt:lpstr>pecuariapastagem_idaderebanho9</vt:lpstr>
      <vt:lpstr>pecuariapastagem_latitude</vt:lpstr>
      <vt:lpstr>pecuariapastagem_longitude</vt:lpstr>
      <vt:lpstr>pecuariapastagem_manejodejetos1</vt:lpstr>
      <vt:lpstr>pecuariapastagem_manejodejetos10</vt:lpstr>
      <vt:lpstr>pecuariapastagem_manejodejetos11</vt:lpstr>
      <vt:lpstr>pecuariapastagem_manejodejetos12</vt:lpstr>
      <vt:lpstr>pecuariapastagem_manejodejetos13</vt:lpstr>
      <vt:lpstr>pecuariapastagem_manejodejetos14</vt:lpstr>
      <vt:lpstr>pecuariapastagem_manejodejetos15</vt:lpstr>
      <vt:lpstr>pecuariapastagem_manejodejetos16</vt:lpstr>
      <vt:lpstr>pecuariapastagem_manejodejetos17</vt:lpstr>
      <vt:lpstr>pecuariapastagem_manejodejetos18</vt:lpstr>
      <vt:lpstr>pecuariapastagem_manejodejetos19</vt:lpstr>
      <vt:lpstr>pecuariapastagem_manejodejetos2</vt:lpstr>
      <vt:lpstr>pecuariapastagem_manejodejetos20</vt:lpstr>
      <vt:lpstr>pecuariapastagem_manejodejetos3</vt:lpstr>
      <vt:lpstr>pecuariapastagem_manejodejetos4</vt:lpstr>
      <vt:lpstr>pecuariapastagem_manejodejetos5</vt:lpstr>
      <vt:lpstr>pecuariapastagem_manejodejetos6</vt:lpstr>
      <vt:lpstr>pecuariapastagem_manejodejetos7</vt:lpstr>
      <vt:lpstr>pecuariapastagem_manejodejetos8</vt:lpstr>
      <vt:lpstr>pecuariapastagem_manejodejetos9</vt:lpstr>
      <vt:lpstr>pecuariapastagem_menucombustivelconsumido</vt:lpstr>
      <vt:lpstr>pecuariapastagem_menuoperacoesmecanizadas</vt:lpstr>
      <vt:lpstr>pecuariapastagem_nadubosintetico</vt:lpstr>
      <vt:lpstr>pecuariapastagem_numeroanimais1</vt:lpstr>
      <vt:lpstr>pecuariapastagem_numeroanimais10</vt:lpstr>
      <vt:lpstr>pecuariapastagem_numeroanimais11</vt:lpstr>
      <vt:lpstr>pecuariapastagem_numeroanimais12</vt:lpstr>
      <vt:lpstr>pecuariapastagem_numeroanimais13</vt:lpstr>
      <vt:lpstr>pecuariapastagem_numeroanimais14</vt:lpstr>
      <vt:lpstr>pecuariapastagem_numeroanimais15</vt:lpstr>
      <vt:lpstr>pecuariapastagem_numeroanimais16</vt:lpstr>
      <vt:lpstr>pecuariapastagem_numeroanimais17</vt:lpstr>
      <vt:lpstr>pecuariapastagem_numeroanimais18</vt:lpstr>
      <vt:lpstr>pecuariapastagem_numeroanimais19</vt:lpstr>
      <vt:lpstr>pecuariapastagem_numeroanimais2</vt:lpstr>
      <vt:lpstr>pecuariapastagem_numeroanimais20</vt:lpstr>
      <vt:lpstr>pecuariapastagem_numeroanimais3</vt:lpstr>
      <vt:lpstr>pecuariapastagem_numeroanimais4</vt:lpstr>
      <vt:lpstr>pecuariapastagem_numeroanimais5</vt:lpstr>
      <vt:lpstr>pecuariapastagem_numeroanimais6</vt:lpstr>
      <vt:lpstr>pecuariapastagem_numeroanimais7</vt:lpstr>
      <vt:lpstr>pecuariapastagem_numeroanimais8</vt:lpstr>
      <vt:lpstr>pecuariapastagem_numeroanimais9</vt:lpstr>
      <vt:lpstr>pecuariapastagem_operacaomecanizada_adubacaodecobertura</vt:lpstr>
      <vt:lpstr>pecuariapastagem_operacaomecanizada_adubacaodecobertura_repeticoes</vt:lpstr>
      <vt:lpstr>pecuariapastagem_operacaomecanizada_calagem</vt:lpstr>
      <vt:lpstr>pecuariapastagem_operacaomecanizada_calagem_repeticoes</vt:lpstr>
      <vt:lpstr>pecuariapastagem_sexo1</vt:lpstr>
      <vt:lpstr>pecuariapastagem_sexo10</vt:lpstr>
      <vt:lpstr>pecuariapastagem_sexo11</vt:lpstr>
      <vt:lpstr>pecuariapastagem_sexo12</vt:lpstr>
      <vt:lpstr>pecuariapastagem_sexo13</vt:lpstr>
      <vt:lpstr>pecuariapastagem_sexo14</vt:lpstr>
      <vt:lpstr>pecuariapastagem_sexo15</vt:lpstr>
      <vt:lpstr>pecuariapastagem_sexo16</vt:lpstr>
      <vt:lpstr>pecuariapastagem_sexo17</vt:lpstr>
      <vt:lpstr>pecuariapastagem_sexo18</vt:lpstr>
      <vt:lpstr>pecuariapastagem_sexo19</vt:lpstr>
      <vt:lpstr>pecuariapastagem_sexo2</vt:lpstr>
      <vt:lpstr>pecuariapastagem_sexo20</vt:lpstr>
      <vt:lpstr>pecuariapastagem_sexo3</vt:lpstr>
      <vt:lpstr>pecuariapastagem_sexo4</vt:lpstr>
      <vt:lpstr>pecuariapastagem_sexo5</vt:lpstr>
      <vt:lpstr>pecuariapastagem_sexo6</vt:lpstr>
      <vt:lpstr>pecuariapastagem_sexo7</vt:lpstr>
      <vt:lpstr>pecuariapastagem_sexo8</vt:lpstr>
      <vt:lpstr>pecuariapastagem_sexo9</vt:lpstr>
      <vt:lpstr>pecuariapastagem_situacaopastagem</vt:lpstr>
      <vt:lpstr>pecuariapastagem_tabelaanimais</vt:lpstr>
      <vt:lpstr>pecuariapastagem_temponasituacao</vt:lpstr>
      <vt:lpstr>pecuariapastagem_teorargilasolo</vt:lpstr>
      <vt:lpstr>pecuariapastagem_tipoanimalcriado1</vt:lpstr>
      <vt:lpstr>pecuariapastagem_tipoanimalcriado10</vt:lpstr>
      <vt:lpstr>pecuariapastagem_tipoanimalcriado11</vt:lpstr>
      <vt:lpstr>pecuariapastagem_tipoanimalcriado12</vt:lpstr>
      <vt:lpstr>pecuariapastagem_tipoanimalcriado13</vt:lpstr>
      <vt:lpstr>pecuariapastagem_tipoanimalcriado14</vt:lpstr>
      <vt:lpstr>pecuariapastagem_tipoanimalcriado15</vt:lpstr>
      <vt:lpstr>pecuariapastagem_tipoanimalcriado16</vt:lpstr>
      <vt:lpstr>pecuariapastagem_tipoanimalcriado17</vt:lpstr>
      <vt:lpstr>pecuariapastagem_tipoanimalcriado18</vt:lpstr>
      <vt:lpstr>pecuariapastagem_tipoanimalcriado19</vt:lpstr>
      <vt:lpstr>pecuariapastagem_tipoanimalcriado2</vt:lpstr>
      <vt:lpstr>pecuariapastagem_tipoanimalcriado20</vt:lpstr>
      <vt:lpstr>pecuariapastagem_tipoanimalcriado3</vt:lpstr>
      <vt:lpstr>pecuariapastagem_tipoanimalcriado4</vt:lpstr>
      <vt:lpstr>pecuariapastagem_tipoanimalcriado5</vt:lpstr>
      <vt:lpstr>pecuariapastagem_tipoanimalcriado6</vt:lpstr>
      <vt:lpstr>pecuariapastagem_tipoanimalcriado7</vt:lpstr>
      <vt:lpstr>pecuariapastagem_tipoanimalcriado8</vt:lpstr>
      <vt:lpstr>pecuariapastagem_tipoanimalcriado9</vt:lpstr>
      <vt:lpstr>pecuariapastagem_tipocombustivel</vt:lpstr>
      <vt:lpstr>pecuariapastagem_tipoconsumocombustivel</vt:lpstr>
      <vt:lpstr>pecuariapastagem_usoanteriorterra</vt:lpstr>
      <vt:lpstr>soja_adubacaonitrogenadasintetica</vt:lpstr>
      <vt:lpstr>soja_adubacaoorganicacompostoorganico</vt:lpstr>
      <vt:lpstr>soja_adubacaoorganicaestercoavicola</vt:lpstr>
      <vt:lpstr>soja_adubacaoorganicaestercogeral</vt:lpstr>
      <vt:lpstr>soja_adubacaoorganicaoutros</vt:lpstr>
      <vt:lpstr>soja_adubacaoverdegraminea</vt:lpstr>
      <vt:lpstr>soja_adubacaoverdeleguminosa</vt:lpstr>
      <vt:lpstr>soja_adubacaoverdeoutros</vt:lpstr>
      <vt:lpstr>soja_aplicacaofungicida</vt:lpstr>
      <vt:lpstr>soja_aplicacaoherbicida</vt:lpstr>
      <vt:lpstr>soja_aplicacaoinseticida</vt:lpstr>
      <vt:lpstr>soja_aplicacaoureia</vt:lpstr>
      <vt:lpstr>soja_areacultivada</vt:lpstr>
      <vt:lpstr>soja_areaqueimaresiduos</vt:lpstr>
      <vt:lpstr>soja_bioma</vt:lpstr>
      <vt:lpstr>soja_calcariocalcitico</vt:lpstr>
      <vt:lpstr>soja_calcariodolomitico</vt:lpstr>
      <vt:lpstr>soja_classetexturalsolo</vt:lpstr>
      <vt:lpstr>soja_consumodiesel</vt:lpstr>
      <vt:lpstr>soja_cultivosoloorganico</vt:lpstr>
      <vt:lpstr>soja_datacolheita</vt:lpstr>
      <vt:lpstr>soja_dataplantio</vt:lpstr>
      <vt:lpstr>soja_emissaoporarea</vt:lpstr>
      <vt:lpstr>soja_emissaoporproducao</vt:lpstr>
      <vt:lpstr>soja_emissaototal</vt:lpstr>
      <vt:lpstr>soja_estado</vt:lpstr>
      <vt:lpstr>soja_latitude</vt:lpstr>
      <vt:lpstr>soja_longitude</vt:lpstr>
      <vt:lpstr>soja_manejosolo</vt:lpstr>
      <vt:lpstr>soja_menucombustivelconsumido</vt:lpstr>
      <vt:lpstr>soja_menuoperacoesmecanizadas</vt:lpstr>
      <vt:lpstr>soja_nadubosintetico</vt:lpstr>
      <vt:lpstr>soja_operacaomecanizada_aplicacaofungicida</vt:lpstr>
      <vt:lpstr>soja_operacaomecanizada_aplicacaofungicida_repeticoes</vt:lpstr>
      <vt:lpstr>soja_operacaomecanizada_aplicacaoherbicidaposemergente</vt:lpstr>
      <vt:lpstr>soja_operacaomecanizada_aplicacaoherbicidaposemergente_repeticoes</vt:lpstr>
      <vt:lpstr>soja_operacaomecanizada_aplicacaoinseticida</vt:lpstr>
      <vt:lpstr>soja_operacaomecanizada_aplicacaoinseticida_repeticoes</vt:lpstr>
      <vt:lpstr>soja_operacaomecanizada_calagem</vt:lpstr>
      <vt:lpstr>soja_operacaomecanizada_calagem_repeticoes</vt:lpstr>
      <vt:lpstr>soja_operacaomecanizada_dessecacaopreemergente</vt:lpstr>
      <vt:lpstr>soja_operacaomecanizada_dessecacaopreemergente_repeticoes</vt:lpstr>
      <vt:lpstr>soja_operacaomecanizada_limpezaarearocadeira</vt:lpstr>
      <vt:lpstr>soja_operacaomecanizada_limpezaarearocadeira_repeticoes</vt:lpstr>
      <vt:lpstr>soja_operacaomecanizada_plantioadubacao</vt:lpstr>
      <vt:lpstr>soja_operacaomecanizada_plantioadubacao_repeticoes</vt:lpstr>
      <vt:lpstr>soja_produtividademedia</vt:lpstr>
      <vt:lpstr>soja_tempoadocaosistema</vt:lpstr>
      <vt:lpstr>soja_teorargilasolo</vt:lpstr>
      <vt:lpstr>soja_tipocombustivel</vt:lpstr>
      <vt:lpstr>soja_tipoconsumocombustivel</vt:lpstr>
      <vt:lpstr>soja_usoanteriorterra</vt:lpstr>
      <vt:lpstr>trigo_adubacaonitrogenadasintetica</vt:lpstr>
      <vt:lpstr>trigo_adubacaoorganicacompostoorganico</vt:lpstr>
      <vt:lpstr>trigo_adubacaoorganicaestercoavicola</vt:lpstr>
      <vt:lpstr>trigo_adubacaoorganicaestercogeral</vt:lpstr>
      <vt:lpstr>trigo_adubacaoorganicaoutros</vt:lpstr>
      <vt:lpstr>trigo_adubacaoverdegraminea</vt:lpstr>
      <vt:lpstr>trigo_adubacaoverdeleguminosa</vt:lpstr>
      <vt:lpstr>trigo_adubacaoverdeoutros</vt:lpstr>
      <vt:lpstr>trigo_aplicacaofungicida</vt:lpstr>
      <vt:lpstr>trigo_aplicacaoherbicida</vt:lpstr>
      <vt:lpstr>trigo_aplicacaoinseticida</vt:lpstr>
      <vt:lpstr>trigo_aplicacaoureia</vt:lpstr>
      <vt:lpstr>trigo_areacultivada</vt:lpstr>
      <vt:lpstr>trigo_areaqueimaresiduos</vt:lpstr>
      <vt:lpstr>trigo_bioma</vt:lpstr>
      <vt:lpstr>trigo_calcariocalcitico</vt:lpstr>
      <vt:lpstr>trigo_calcariodolomitico</vt:lpstr>
      <vt:lpstr>trigo_classetexturalsolo</vt:lpstr>
      <vt:lpstr>trigo_consumodiesel</vt:lpstr>
      <vt:lpstr>trigo_cultivosoloorganico</vt:lpstr>
      <vt:lpstr>trigo_datacolheita</vt:lpstr>
      <vt:lpstr>trigo_dataplantio</vt:lpstr>
      <vt:lpstr>trigo_estado</vt:lpstr>
      <vt:lpstr>trigo_latitude</vt:lpstr>
      <vt:lpstr>trigo_longitude</vt:lpstr>
      <vt:lpstr>trigo_manejosolo</vt:lpstr>
      <vt:lpstr>trigo_menucombustivelconsumido</vt:lpstr>
      <vt:lpstr>trigo_menuoperacoesmecanizadas</vt:lpstr>
      <vt:lpstr>trigo_nadubosintetico</vt:lpstr>
      <vt:lpstr>trigo_operacaomecanizada_aplicacaofungicida</vt:lpstr>
      <vt:lpstr>trigo_operacaomecanizada_aplicacaofungicida_repeticoes</vt:lpstr>
      <vt:lpstr>trigo_operacaomecanizada_aplicacaoherbicida</vt:lpstr>
      <vt:lpstr>trigo_operacaomecanizada_aplicacaoherbicida_repeticoes</vt:lpstr>
      <vt:lpstr>trigo_operacaomecanizada_aplicacaoinseticida</vt:lpstr>
      <vt:lpstr>trigo_operacaomecanizada_aplicacaoinseticida_repeticoes</vt:lpstr>
      <vt:lpstr>trigo_operacaomecanizada_colheita</vt:lpstr>
      <vt:lpstr>trigo_operacaomecanizada_colheita_repeticoes</vt:lpstr>
      <vt:lpstr>trigo_operacaomecanizada_plantio</vt:lpstr>
      <vt:lpstr>trigo_operacaomecanizada_plantio_repeticoes</vt:lpstr>
      <vt:lpstr>trigo_produtividademedia</vt:lpstr>
      <vt:lpstr>trigo_tempoadocaosistema</vt:lpstr>
      <vt:lpstr>trigo_teorargilasolo</vt:lpstr>
      <vt:lpstr>trigo_tipocombustivel</vt:lpstr>
      <vt:lpstr>trigo_tipoconsumocombustivel</vt:lpstr>
      <vt:lpstr>trigo_usoanteriorterra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jp_e@hotmail.com</dc:creator>
  <cp:lastModifiedBy>wanessa.campos</cp:lastModifiedBy>
  <cp:lastPrinted>2015-08-24T12:31:16Z</cp:lastPrinted>
  <dcterms:created xsi:type="dcterms:W3CDTF">2013-10-04T15:52:26Z</dcterms:created>
  <dcterms:modified xsi:type="dcterms:W3CDTF">2015-09-02T16:24:07Z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